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csulb-my.sharepoint.com/personal/cameron_li01_student_csulb_edu/Documents/"/>
    </mc:Choice>
  </mc:AlternateContent>
  <xr:revisionPtr revIDLastSave="0" documentId="8_{0CD66267-3EFD-4426-9E43-BB1564D5B817}" xr6:coauthVersionLast="47" xr6:coauthVersionMax="47" xr10:uidLastSave="{00000000-0000-0000-0000-000000000000}"/>
  <bookViews>
    <workbookView xWindow="-120" yWindow="-120" windowWidth="29040" windowHeight="15720" firstSheet="2" activeTab="2" xr2:uid="{22643C80-A6B1-4C49-B3F0-20C20624D865}"/>
  </bookViews>
  <sheets>
    <sheet name="Data Set" sheetId="1" r:id="rId1"/>
    <sheet name="Math Scores Descriptive Stats" sheetId="5" r:id="rId2"/>
    <sheet name="Reading Scores Descriptive Stat" sheetId="6" r:id="rId3"/>
    <sheet name="Regression Model" sheetId="7" r:id="rId4"/>
    <sheet name="Pivot Table" sheetId="2" r:id="rId5"/>
  </sheets>
  <definedNames>
    <definedName name="_xlchart.v1.0" hidden="1">'Data Set'!$H$1</definedName>
    <definedName name="_xlchart.v1.1" hidden="1">'Data Set'!$H$2:$H$1001</definedName>
    <definedName name="_xlchart.v1.2" hidden="1">'Data Set'!$I$1</definedName>
    <definedName name="_xlchart.v1.3" hidden="1">'Data Set'!$I$2:$I$1001</definedName>
    <definedName name="_xlcn.WorksheetConnection_Sheet1A1H10011" hidden="1">'Data Set'!$A$1:$J$1001</definedName>
  </definedNames>
  <calcPr calcId="191028"/>
  <pivotCaches>
    <pivotCache cacheId="7102" r:id="rId6"/>
    <pivotCache cacheId="7103" r:id="rId7"/>
    <pivotCache cacheId="7104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$1:$H$10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B21" i="6"/>
  <c r="B20" i="6"/>
  <c r="B19" i="6"/>
  <c r="B18" i="6"/>
  <c r="B17" i="6"/>
  <c r="G9" i="6"/>
  <c r="F9" i="6"/>
  <c r="F8" i="6"/>
  <c r="B21" i="5"/>
  <c r="B20" i="5"/>
  <c r="B18" i="5"/>
  <c r="B19" i="5"/>
  <c r="B17" i="5"/>
  <c r="G9" i="5"/>
  <c r="F9" i="5"/>
  <c r="F8" i="5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X24" i="1"/>
  <c r="X25" i="1"/>
  <c r="O3" i="1"/>
  <c r="O6" i="1" l="1"/>
  <c r="O10" i="1"/>
  <c r="O8" i="1"/>
  <c r="O7" i="1"/>
  <c r="O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1F2C69-6477-4A11-9BF2-45A07759ABC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11EC9F4-DA4F-4E79-A8ED-EC4FB88680B8}" name="WorksheetConnection_Sheet1!$A$1:$H$10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1H100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Range].[parental level of education].[All]}"/>
    <s v="{[Range].[lunch].[All]}"/>
    <s v="{[Range].[test preparation course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<sst xmlns="http://schemas.openxmlformats.org/spreadsheetml/2006/main" count="6073" uniqueCount="1030">
  <si>
    <t>Gender</t>
  </si>
  <si>
    <t>Race/Rthnicity</t>
  </si>
  <si>
    <t>Parental Level of Education</t>
  </si>
  <si>
    <t>Lunch</t>
  </si>
  <si>
    <t>Test Preparation Course</t>
  </si>
  <si>
    <t>StudyTimeWeekly</t>
  </si>
  <si>
    <t>Absences</t>
  </si>
  <si>
    <t>Math Score</t>
  </si>
  <si>
    <t>Reading Score</t>
  </si>
  <si>
    <t>Writing Score</t>
  </si>
  <si>
    <t>Overall Academic Score</t>
  </si>
  <si>
    <t>female</t>
  </si>
  <si>
    <t>group B</t>
  </si>
  <si>
    <t>bachelor's degree</t>
  </si>
  <si>
    <t>standard</t>
  </si>
  <si>
    <t>none</t>
  </si>
  <si>
    <t>11.36638302155851</t>
  </si>
  <si>
    <t>group C</t>
  </si>
  <si>
    <t>some college</t>
  </si>
  <si>
    <t>completed</t>
  </si>
  <si>
    <t>3.761171329581512</t>
  </si>
  <si>
    <t>t - test</t>
  </si>
  <si>
    <t>master's degree</t>
  </si>
  <si>
    <t>5.370001523949908</t>
  </si>
  <si>
    <t>male</t>
  </si>
  <si>
    <t>group A</t>
  </si>
  <si>
    <t>associate's degree</t>
  </si>
  <si>
    <t>free/reduced</t>
  </si>
  <si>
    <t>5.497913165141755</t>
  </si>
  <si>
    <t>One-Sample t-test</t>
  </si>
  <si>
    <t>7.859015299827061</t>
  </si>
  <si>
    <t>Avg. Overall Academic Score</t>
  </si>
  <si>
    <t>13.896414597434415</t>
  </si>
  <si>
    <t>STD. Overall Academic Score</t>
  </si>
  <si>
    <t>2.912574770509029</t>
  </si>
  <si>
    <t>Sample Size</t>
  </si>
  <si>
    <t>2.4692714746147204</t>
  </si>
  <si>
    <t>Standard Error</t>
  </si>
  <si>
    <t>group D</t>
  </si>
  <si>
    <t>high school</t>
  </si>
  <si>
    <t>17.875483755238896</t>
  </si>
  <si>
    <t>t-stat</t>
  </si>
  <si>
    <t>17.248682602823138</t>
  </si>
  <si>
    <t>18.487086923876006</t>
  </si>
  <si>
    <t>4.999179624789911</t>
  </si>
  <si>
    <t>13.239396789012684</t>
  </si>
  <si>
    <t>Row Labels</t>
  </si>
  <si>
    <t>Count of parental level of education</t>
  </si>
  <si>
    <t>5.7251807076636645</t>
  </si>
  <si>
    <t>9.896569132428404</t>
  </si>
  <si>
    <t>some high school</t>
  </si>
  <si>
    <t>10.779617489002412</t>
  </si>
  <si>
    <t>6.023180395708907</t>
  </si>
  <si>
    <t>8.412604737576387</t>
  </si>
  <si>
    <t>17.700306490945174</t>
  </si>
  <si>
    <t>14.089872728233694</t>
  </si>
  <si>
    <t>Grand Total</t>
  </si>
  <si>
    <t>8.269315334203203</t>
  </si>
  <si>
    <t>11.695136166746094</t>
  </si>
  <si>
    <t>12.941403325177479</t>
  </si>
  <si>
    <t>14.63410545446303</t>
  </si>
  <si>
    <t>8.045893561526373</t>
  </si>
  <si>
    <t>0.1069797738844569</t>
  </si>
  <si>
    <t>8.528121129839457</t>
  </si>
  <si>
    <t>6.4107233361299105</t>
  </si>
  <si>
    <t>13.591036731453679</t>
  </si>
  <si>
    <t>16.12193495921495</t>
  </si>
  <si>
    <t>8.368989943509161</t>
  </si>
  <si>
    <t>11.41329157961578</t>
  </si>
  <si>
    <t>group E</t>
  </si>
  <si>
    <t>7.005447413386552</t>
  </si>
  <si>
    <t>6.195306282858068</t>
  </si>
  <si>
    <t>5.564343741376443</t>
  </si>
  <si>
    <t>11.448154519355302</t>
  </si>
  <si>
    <t>19.916047355598373</t>
  </si>
  <si>
    <t>18.981592063656336</t>
  </si>
  <si>
    <t>Count of lunch</t>
  </si>
  <si>
    <t>10.403614731335193</t>
  </si>
  <si>
    <t>17.13459893011795</t>
  </si>
  <si>
    <t>2.3951993286439444</t>
  </si>
  <si>
    <t>10.281613912385463</t>
  </si>
  <si>
    <t>0.6398892028864944</t>
  </si>
  <si>
    <t>4.061411858401243</t>
  </si>
  <si>
    <t>18.484368696853203</t>
  </si>
  <si>
    <t>15.078753688828481</t>
  </si>
  <si>
    <t>18.921512361376628</t>
  </si>
  <si>
    <t>5.125847507384352</t>
  </si>
  <si>
    <t>13.909769183553006</t>
  </si>
  <si>
    <t>12.099000262954085</t>
  </si>
  <si>
    <t>7.019512478521827</t>
  </si>
  <si>
    <t>16.96835452861022</t>
  </si>
  <si>
    <t>14.417864381041953</t>
  </si>
  <si>
    <t>12.13439159564464</t>
  </si>
  <si>
    <t>4.070710449636097</t>
  </si>
  <si>
    <t>18.899695711116863</t>
  </si>
  <si>
    <t>14.173534399310139</t>
  </si>
  <si>
    <t>17.048777712837463</t>
  </si>
  <si>
    <t>Count of male</t>
  </si>
  <si>
    <t>6.659004939247466</t>
  </si>
  <si>
    <t>17.57061498414312</t>
  </si>
  <si>
    <t>5.252672247321472</t>
  </si>
  <si>
    <t>13.570946828363212</t>
  </si>
  <si>
    <t>0.2355975257328402</t>
  </si>
  <si>
    <t>13.084715598906358</t>
  </si>
  <si>
    <t>17.471111524541776</t>
  </si>
  <si>
    <t>2.8173720790172263</t>
  </si>
  <si>
    <t>16.738556656892474</t>
  </si>
  <si>
    <t>14.28306292784348</t>
  </si>
  <si>
    <t>14.714359735562198</t>
  </si>
  <si>
    <t>0.8440093716259689</t>
  </si>
  <si>
    <t>7.343392513900453</t>
  </si>
  <si>
    <t>15.234854129390317</t>
  </si>
  <si>
    <t>15.805198078833875</t>
  </si>
  <si>
    <t>17.472676452694003</t>
  </si>
  <si>
    <t>18.168750957445297</t>
  </si>
  <si>
    <t>6.738438261534911</t>
  </si>
  <si>
    <t>8.483701114919524</t>
  </si>
  <si>
    <t>17.693499699066997</t>
  </si>
  <si>
    <t>10.41310707468223</t>
  </si>
  <si>
    <t>4.750322411881203</t>
  </si>
  <si>
    <t>11.557541628818182</t>
  </si>
  <si>
    <t>6.463881306486723</t>
  </si>
  <si>
    <t>4.402584883950533</t>
  </si>
  <si>
    <t>5.213327651242034</t>
  </si>
  <si>
    <t>6.532438114960176</t>
  </si>
  <si>
    <t>3.222000465128445</t>
  </si>
  <si>
    <t>3.0936969636972234</t>
  </si>
  <si>
    <t>8.288596249340731</t>
  </si>
  <si>
    <t>9.273516115463561</t>
  </si>
  <si>
    <t>3.514304916736517</t>
  </si>
  <si>
    <t>11.874115659028693</t>
  </si>
  <si>
    <t>3.253044363798012</t>
  </si>
  <si>
    <t>3.9390726041744273</t>
  </si>
  <si>
    <t>12.440589585040184</t>
  </si>
  <si>
    <t>3.2142669838197135</t>
  </si>
  <si>
    <t>10.857562647216103</t>
  </si>
  <si>
    <t>14.846204910674487</t>
  </si>
  <si>
    <t>18.846018758024133</t>
  </si>
  <si>
    <t>16.411528786676996</t>
  </si>
  <si>
    <t>16.320670046041368</t>
  </si>
  <si>
    <t>3.147570297377351</t>
  </si>
  <si>
    <t>0.24139870601235902</t>
  </si>
  <si>
    <t>0.16709408344277143</t>
  </si>
  <si>
    <t>16.732404207353163</t>
  </si>
  <si>
    <t>13.484392648947939</t>
  </si>
  <si>
    <t>3.381154982674115</t>
  </si>
  <si>
    <t>1.155763940397283</t>
  </si>
  <si>
    <t>16.930689862468103</t>
  </si>
  <si>
    <t>6.333687120338521</t>
  </si>
  <si>
    <t>1.6779592125781861</t>
  </si>
  <si>
    <t>15.843798765504902</t>
  </si>
  <si>
    <t>12.194163910735195</t>
  </si>
  <si>
    <t>19.13671335086126</t>
  </si>
  <si>
    <t>16.027430709272735</t>
  </si>
  <si>
    <t>13.747798253714292</t>
  </si>
  <si>
    <t>10.596677779241405</t>
  </si>
  <si>
    <t>19.96842467847548</t>
  </si>
  <si>
    <t>17.253503258914517</t>
  </si>
  <si>
    <t>14.348071108104206</t>
  </si>
  <si>
    <t>15.765504163416592</t>
  </si>
  <si>
    <t>13.870196740926408</t>
  </si>
  <si>
    <t>10.981664451374458</t>
  </si>
  <si>
    <t>11.086451961673108</t>
  </si>
  <si>
    <t>14.321261068391163</t>
  </si>
  <si>
    <t>0.2999700075427336</t>
  </si>
  <si>
    <t>10.087614085975336</t>
  </si>
  <si>
    <t>5.0286030437492695</t>
  </si>
  <si>
    <t>11.083625108975976</t>
  </si>
  <si>
    <t>14.593568272944825</t>
  </si>
  <si>
    <t>4.401325095693835</t>
  </si>
  <si>
    <t>12.276918900154485</t>
  </si>
  <si>
    <t>1.9899245236127627</t>
  </si>
  <si>
    <t>18.36386316923406</t>
  </si>
  <si>
    <t>14.389199353399437</t>
  </si>
  <si>
    <t>5.082945602556288</t>
  </si>
  <si>
    <t>16.195770573762093</t>
  </si>
  <si>
    <t>19.671945994775484</t>
  </si>
  <si>
    <t>13.629212250343425</t>
  </si>
  <si>
    <t>19.933665558693594</t>
  </si>
  <si>
    <t>14.266434590025446</t>
  </si>
  <si>
    <t>9.211320151245115</t>
  </si>
  <si>
    <t>6.918990357264059</t>
  </si>
  <si>
    <t>10.100560922975339</t>
  </si>
  <si>
    <t>16.772435923961137</t>
  </si>
  <si>
    <t>9.126518476447972</t>
  </si>
  <si>
    <t>11.206973487006469</t>
  </si>
  <si>
    <t>18.608972010900622</t>
  </si>
  <si>
    <t>12.24317317886458</t>
  </si>
  <si>
    <t>17.182607195024666</t>
  </si>
  <si>
    <t>13.483842332300016</t>
  </si>
  <si>
    <t>12.600691550848763</t>
  </si>
  <si>
    <t>12.416652655483858</t>
  </si>
  <si>
    <t>5.926961537611614</t>
  </si>
  <si>
    <t>3.1707231699984706</t>
  </si>
  <si>
    <t>18.446155509671694</t>
  </si>
  <si>
    <t>17.562303939714027</t>
  </si>
  <si>
    <t>12.324485032139059</t>
  </si>
  <si>
    <t>6.8076967535509825</t>
  </si>
  <si>
    <t>6.859330394001564</t>
  </si>
  <si>
    <t>3.8403250193589766</t>
  </si>
  <si>
    <t>12.064442713159274</t>
  </si>
  <si>
    <t>5.327552828600477</t>
  </si>
  <si>
    <t>7.343476288625843</t>
  </si>
  <si>
    <t>17.819907492885296</t>
  </si>
  <si>
    <t>11.112343093648057</t>
  </si>
  <si>
    <t>0.6687597112219534</t>
  </si>
  <si>
    <t>4.708144976830533</t>
  </si>
  <si>
    <t>12.353891723771817</t>
  </si>
  <si>
    <t>18.67230755670188</t>
  </si>
  <si>
    <t>17.09234926303671</t>
  </si>
  <si>
    <t>2.9972559777310326</t>
  </si>
  <si>
    <t>13.015766416938037</t>
  </si>
  <si>
    <t>18.215898610198977</t>
  </si>
  <si>
    <t>15.444805517865532</t>
  </si>
  <si>
    <t>7.661387394530134</t>
  </si>
  <si>
    <t>17.338820856610248</t>
  </si>
  <si>
    <t>17.42543701900234</t>
  </si>
  <si>
    <t>6.074477032636516</t>
  </si>
  <si>
    <t>19.598288655647607</t>
  </si>
  <si>
    <t>0.6376959041718422</t>
  </si>
  <si>
    <t>2.0896063350791616</t>
  </si>
  <si>
    <t>1.7543528343992865</t>
  </si>
  <si>
    <t>12.897120868594536</t>
  </si>
  <si>
    <t>7.5450397143139085</t>
  </si>
  <si>
    <t>2.0678987326008302</t>
  </si>
  <si>
    <t>2.7083769963565607</t>
  </si>
  <si>
    <t>8.875671585646714</t>
  </si>
  <si>
    <t>11.677165346160308</t>
  </si>
  <si>
    <t>13.812454841626831</t>
  </si>
  <si>
    <t>14.471614008799618</t>
  </si>
  <si>
    <t>15.424496305808074</t>
  </si>
  <si>
    <t>8.448915800617582</t>
  </si>
  <si>
    <t>19.833722807854713</t>
  </si>
  <si>
    <t>14.140623386457687</t>
  </si>
  <si>
    <t>15.887684501857127</t>
  </si>
  <si>
    <t>14.078733340690308</t>
  </si>
  <si>
    <t>14.71907121030356</t>
  </si>
  <si>
    <t>13.95980942995585</t>
  </si>
  <si>
    <t>14.304737069652662</t>
  </si>
  <si>
    <t>14.452234496688991</t>
  </si>
  <si>
    <t>2.4516631301436598</t>
  </si>
  <si>
    <t>16.922383711102235</t>
  </si>
  <si>
    <t>12.97068318066685</t>
  </si>
  <si>
    <t>10.094789507607034</t>
  </si>
  <si>
    <t>16.24827315247801</t>
  </si>
  <si>
    <t>16.202801814909225</t>
  </si>
  <si>
    <t>10.737364359412043</t>
  </si>
  <si>
    <t>8.789307487168843</t>
  </si>
  <si>
    <t>15.739515987624017</t>
  </si>
  <si>
    <t>6.656367221833439</t>
  </si>
  <si>
    <t>8.982468278605015</t>
  </si>
  <si>
    <t>5.253866197600104</t>
  </si>
  <si>
    <t>9.076931276138232</t>
  </si>
  <si>
    <t>8.531838021087868</t>
  </si>
  <si>
    <t>13.47033573634518</t>
  </si>
  <si>
    <t>16.25465808609359</t>
  </si>
  <si>
    <t>6.065620521308905</t>
  </si>
  <si>
    <t>16.975351705626284</t>
  </si>
  <si>
    <t>12.183907827866525</t>
  </si>
  <si>
    <t>4.536742046509903</t>
  </si>
  <si>
    <t>2.349517977529858</t>
  </si>
  <si>
    <t>13.274089578525121</t>
  </si>
  <si>
    <t>7.397772512962497</t>
  </si>
  <si>
    <t>3.258053089547881</t>
  </si>
  <si>
    <t>4.033104225337844</t>
  </si>
  <si>
    <t>13.375065088996275</t>
  </si>
  <si>
    <t>7.9458258589181145</t>
  </si>
  <si>
    <t>12.49401338813216</t>
  </si>
  <si>
    <t>7.854702284484551</t>
  </si>
  <si>
    <t>0.48781986220193474</t>
  </si>
  <si>
    <t>4.612772804285279</t>
  </si>
  <si>
    <t>19.47485164076987</t>
  </si>
  <si>
    <t>7.971184482882552</t>
  </si>
  <si>
    <t>6.263641014072703</t>
  </si>
  <si>
    <t>19.920255667644966</t>
  </si>
  <si>
    <t>2.7274221005891675</t>
  </si>
  <si>
    <t>8.978234451855801</t>
  </si>
  <si>
    <t>13.733008467080746</t>
  </si>
  <si>
    <t>13.611661858375346</t>
  </si>
  <si>
    <t>17.73179192337893</t>
  </si>
  <si>
    <t>12.388901476363065</t>
  </si>
  <si>
    <t>15.679050361956818</t>
  </si>
  <si>
    <t>12.366926140909149</t>
  </si>
  <si>
    <t>1.4174340130974716</t>
  </si>
  <si>
    <t>13.782181629736481</t>
  </si>
  <si>
    <t>18.719883580035553</t>
  </si>
  <si>
    <t>8.619661256945168</t>
  </si>
  <si>
    <t>18.116987799986116</t>
  </si>
  <si>
    <t>0.44405625975700636</t>
  </si>
  <si>
    <t>5.598746593838133</t>
  </si>
  <si>
    <t>2.543649072650218</t>
  </si>
  <si>
    <t>19.184708706476442</t>
  </si>
  <si>
    <t>3.4236948767025055</t>
  </si>
  <si>
    <t>10.69601953838336</t>
  </si>
  <si>
    <t>11.148494893402841</t>
  </si>
  <si>
    <t>5.669222985281584</t>
  </si>
  <si>
    <t>12.85666781631476</t>
  </si>
  <si>
    <t>6.964612794147373</t>
  </si>
  <si>
    <t>8.773433936060977</t>
  </si>
  <si>
    <t>6.587561340684354</t>
  </si>
  <si>
    <t>0.7539478084534124</t>
  </si>
  <si>
    <t>14.54262393763855</t>
  </si>
  <si>
    <t>16.828795199124894</t>
  </si>
  <si>
    <t>2.6313061327870924</t>
  </si>
  <si>
    <t>18.63888279308744</t>
  </si>
  <si>
    <t>18.782173966204812</t>
  </si>
  <si>
    <t>2.5160467269210263</t>
  </si>
  <si>
    <t>9.531358871600371</t>
  </si>
  <si>
    <t>13.267252219129857</t>
  </si>
  <si>
    <t>10.401653664331679</t>
  </si>
  <si>
    <t>11.413663501439572</t>
  </si>
  <si>
    <t>11.469835277819534</t>
  </si>
  <si>
    <t>7.354170162550863</t>
  </si>
  <si>
    <t>13.219476412993515</t>
  </si>
  <si>
    <t>15.785813093542094</t>
  </si>
  <si>
    <t>0.6004045143467263</t>
  </si>
  <si>
    <t>1.232159705849385</t>
  </si>
  <si>
    <t>7.598010446454079</t>
  </si>
  <si>
    <t>2.7186549473464128</t>
  </si>
  <si>
    <t>7.339156636339905</t>
  </si>
  <si>
    <t>3.7263355303706702</t>
  </si>
  <si>
    <t>7.069549502567575</t>
  </si>
  <si>
    <t>19.388787513517567</t>
  </si>
  <si>
    <t>0.1690299212492108</t>
  </si>
  <si>
    <t>12.535676341036892</t>
  </si>
  <si>
    <t>2.2906573665269647</t>
  </si>
  <si>
    <t>1.4514959608942157</t>
  </si>
  <si>
    <t>8.847874814963872</t>
  </si>
  <si>
    <t>16.100353864692558</t>
  </si>
  <si>
    <t>10.028829473958215</t>
  </si>
  <si>
    <t>15.09880400316658</t>
  </si>
  <si>
    <t>15.167695431798355</t>
  </si>
  <si>
    <t>0.3776175715246932</t>
  </si>
  <si>
    <t>9.293789368903301</t>
  </si>
  <si>
    <t>10.195141338017429</t>
  </si>
  <si>
    <t>11.582596080700982</t>
  </si>
  <si>
    <t>15.713332038889122</t>
  </si>
  <si>
    <t>14.057328881002027</t>
  </si>
  <si>
    <t>4.188134278998672</t>
  </si>
  <si>
    <t>7.088479839747723</t>
  </si>
  <si>
    <t>19.44459418432715</t>
  </si>
  <si>
    <t>4.190384486250642</t>
  </si>
  <si>
    <t>8.035873406667275</t>
  </si>
  <si>
    <t>4.003084224987337</t>
  </si>
  <si>
    <t>18.77156479172066</t>
  </si>
  <si>
    <t>0.6835117808217483</t>
  </si>
  <si>
    <t>5.778740333151653</t>
  </si>
  <si>
    <t>8.720965959451757</t>
  </si>
  <si>
    <t>17.02968898627988</t>
  </si>
  <si>
    <t>4.304876410019074</t>
  </si>
  <si>
    <t>3.9296530480583725</t>
  </si>
  <si>
    <t>17.381981374494572</t>
  </si>
  <si>
    <t>12.34708501976134</t>
  </si>
  <si>
    <t>0.4513716640475418</t>
  </si>
  <si>
    <t>6.477911051607583</t>
  </si>
  <si>
    <t>8.934790506227856</t>
  </si>
  <si>
    <t>8.384984986379315</t>
  </si>
  <si>
    <t>8.946648533323756</t>
  </si>
  <si>
    <t>1.5648419716004547</t>
  </si>
  <si>
    <t>17.656729813561583</t>
  </si>
  <si>
    <t>10.157948320067618</t>
  </si>
  <si>
    <t>0.025688510536028275</t>
  </si>
  <si>
    <t>19.653048229871384</t>
  </si>
  <si>
    <t>11.541066834270886</t>
  </si>
  <si>
    <t>13.414944009435468</t>
  </si>
  <si>
    <t>19.15670608897006</t>
  </si>
  <si>
    <t>6.029123728213359</t>
  </si>
  <si>
    <t>6.327508147753658</t>
  </si>
  <si>
    <t>18.91347074101609</t>
  </si>
  <si>
    <t>0.1850504487180471</t>
  </si>
  <si>
    <t>11.31114966452774</t>
  </si>
  <si>
    <t>1.1031318120357092</t>
  </si>
  <si>
    <t>8.090390489164701</t>
  </si>
  <si>
    <t>8.760673133952936</t>
  </si>
  <si>
    <t>6.069064328992124</t>
  </si>
  <si>
    <t>12.684861819550852</t>
  </si>
  <si>
    <t>0.4500865485737293</t>
  </si>
  <si>
    <t>8.630162396952848</t>
  </si>
  <si>
    <t>13.552223641991883</t>
  </si>
  <si>
    <t>18.434533389033227</t>
  </si>
  <si>
    <t>14.72559797566843</t>
  </si>
  <si>
    <t>15.746976968194142</t>
  </si>
  <si>
    <t>15.839220289334314</t>
  </si>
  <si>
    <t>5.371142812412821</t>
  </si>
  <si>
    <t>4.2854361862051915</t>
  </si>
  <si>
    <t>10.390037095299622</t>
  </si>
  <si>
    <t>9.916389452970781</t>
  </si>
  <si>
    <t>10.508639966192845</t>
  </si>
  <si>
    <t>7.6991744527511425</t>
  </si>
  <si>
    <t>10.463162996352832</t>
  </si>
  <si>
    <t>16.560865715485043</t>
  </si>
  <si>
    <t>19.719831443413188</t>
  </si>
  <si>
    <t>4.2835250547917365</t>
  </si>
  <si>
    <t>16.25856810787874</t>
  </si>
  <si>
    <t>13.075558459123126</t>
  </si>
  <si>
    <t>4.637192277656967</t>
  </si>
  <si>
    <t>5.1332337979182885</t>
  </si>
  <si>
    <t>16.14955871303818</t>
  </si>
  <si>
    <t>16.263642945689224</t>
  </si>
  <si>
    <t>9.926455425687577</t>
  </si>
  <si>
    <t>2.2078846849986755</t>
  </si>
  <si>
    <t>3.8516326491705577</t>
  </si>
  <si>
    <t>18.673578122658704</t>
  </si>
  <si>
    <t>19.011879318622487</t>
  </si>
  <si>
    <t>6.711144033933143</t>
  </si>
  <si>
    <t>0.7672772271140227</t>
  </si>
  <si>
    <t>18.31886007908105</t>
  </si>
  <si>
    <t>4.023459342278015</t>
  </si>
  <si>
    <t>1.3281070692099473</t>
  </si>
  <si>
    <t>4.294702502431265</t>
  </si>
  <si>
    <t>7.830741992032584</t>
  </si>
  <si>
    <t>3.5217857588770785</t>
  </si>
  <si>
    <t>4.006796421928847</t>
  </si>
  <si>
    <t>14.736336636594004</t>
  </si>
  <si>
    <t>5.690239194848883</t>
  </si>
  <si>
    <t>2.679497334995624</t>
  </si>
  <si>
    <t>19.521411720638085</t>
  </si>
  <si>
    <t>5.180702882066943</t>
  </si>
  <si>
    <t>19.86327477866957</t>
  </si>
  <si>
    <t>15.870748044576619</t>
  </si>
  <si>
    <t>13.274687213878769</t>
  </si>
  <si>
    <t>9.247228944954784</t>
  </si>
  <si>
    <t>7.186779810315745</t>
  </si>
  <si>
    <t>7.560621244663903</t>
  </si>
  <si>
    <t>11.934459802124342</t>
  </si>
  <si>
    <t>12.981612040377687</t>
  </si>
  <si>
    <t>18.803596694584826</t>
  </si>
  <si>
    <t>5.973443147750994</t>
  </si>
  <si>
    <t>2.089647906156693</t>
  </si>
  <si>
    <t>10.138602321543889</t>
  </si>
  <si>
    <t>16.81570143878229</t>
  </si>
  <si>
    <t>19.510546580418037</t>
  </si>
  <si>
    <t>11.124727880515454</t>
  </si>
  <si>
    <t>16.931086449308058</t>
  </si>
  <si>
    <t>4.568517046168403</t>
  </si>
  <si>
    <t>7.770622960120841</t>
  </si>
  <si>
    <t>12.120276638721625</t>
  </si>
  <si>
    <t>9.727442016502952</t>
  </si>
  <si>
    <t>1.0786516568174243</t>
  </si>
  <si>
    <t>15.601680474699295</t>
  </si>
  <si>
    <t>4.121475598743505</t>
  </si>
  <si>
    <t>6.667356762331256</t>
  </si>
  <si>
    <t>7.202842282778761</t>
  </si>
  <si>
    <t>5.494100656142873</t>
  </si>
  <si>
    <t>9.980723458081627</t>
  </si>
  <si>
    <t>12.229897054383983</t>
  </si>
  <si>
    <t>11.426400308662055</t>
  </si>
  <si>
    <t>4.074347865553332</t>
  </si>
  <si>
    <t>14.666558174337245</t>
  </si>
  <si>
    <t>15.108745450311623</t>
  </si>
  <si>
    <t>12.898126477298339</t>
  </si>
  <si>
    <t>4.225258338763929</t>
  </si>
  <si>
    <t>5.401169322031114</t>
  </si>
  <si>
    <t>10.229350800852348</t>
  </si>
  <si>
    <t>6.718923067578677</t>
  </si>
  <si>
    <t>3.962614836471541</t>
  </si>
  <si>
    <t>1.5110898752553914</t>
  </si>
  <si>
    <t>10.552489136774156</t>
  </si>
  <si>
    <t>17.00635416315198</t>
  </si>
  <si>
    <t>17.18649902140952</t>
  </si>
  <si>
    <t>16.06266177872492</t>
  </si>
  <si>
    <t>11.411228092492129</t>
  </si>
  <si>
    <t>2.0589228940057236</t>
  </si>
  <si>
    <t>9.864949860519715</t>
  </si>
  <si>
    <t>1.2014633670996488</t>
  </si>
  <si>
    <t>16.78816075218544</t>
  </si>
  <si>
    <t>14.668036986698114</t>
  </si>
  <si>
    <t>13.964309069889456</t>
  </si>
  <si>
    <t>0.6164923739874051</t>
  </si>
  <si>
    <t>11.301445660733872</t>
  </si>
  <si>
    <t>12.733858287158835</t>
  </si>
  <si>
    <t>1.0012905418658868</t>
  </si>
  <si>
    <t>3.278634419064055</t>
  </si>
  <si>
    <t>1.599649655935096</t>
  </si>
  <si>
    <t>7.119367816644731</t>
  </si>
  <si>
    <t>13.122921836948844</t>
  </si>
  <si>
    <t>16.051214963032557</t>
  </si>
  <si>
    <t>10.592890540702669</t>
  </si>
  <si>
    <t>4.741407823483561</t>
  </si>
  <si>
    <t>2.261994788476449</t>
  </si>
  <si>
    <t>0.8976203294543605</t>
  </si>
  <si>
    <t>10.674508273428888</t>
  </si>
  <si>
    <t>10.050952134440463</t>
  </si>
  <si>
    <t>9.812271517963982</t>
  </si>
  <si>
    <t>16.253860867515648</t>
  </si>
  <si>
    <t>2.5436237843377385</t>
  </si>
  <si>
    <t>16.405859212183547</t>
  </si>
  <si>
    <t>1.7704463042945684</t>
  </si>
  <si>
    <t>3.165661013987473</t>
  </si>
  <si>
    <t>14.408321381846857</t>
  </si>
  <si>
    <t>5.048276259531203</t>
  </si>
  <si>
    <t>1.126665555984796</t>
  </si>
  <si>
    <t>14.96750498856365</t>
  </si>
  <si>
    <t>0.6959839973670023</t>
  </si>
  <si>
    <t>15.101364082632502</t>
  </si>
  <si>
    <t>9.602698792767463</t>
  </si>
  <si>
    <t>4.838554562384731</t>
  </si>
  <si>
    <t>16.359695421544107</t>
  </si>
  <si>
    <t>9.855626917299114</t>
  </si>
  <si>
    <t>5.427627901591691</t>
  </si>
  <si>
    <t>14.287751240745848</t>
  </si>
  <si>
    <t>16.926360255617475</t>
  </si>
  <si>
    <t>4.784221760684375</t>
  </si>
  <si>
    <t>18.276290452498884</t>
  </si>
  <si>
    <t>1.5654896145975172</t>
  </si>
  <si>
    <t>1.9011307366512886</t>
  </si>
  <si>
    <t>9.772098517559694</t>
  </si>
  <si>
    <t>17.531962376700374</t>
  </si>
  <si>
    <t>15.827054473046688</t>
  </si>
  <si>
    <t>6.588333147488859</t>
  </si>
  <si>
    <t>17.782610714097167</t>
  </si>
  <si>
    <t>10.847731203808774</t>
  </si>
  <si>
    <t>12.635496873055107</t>
  </si>
  <si>
    <t>19.765242302863737</t>
  </si>
  <si>
    <t>11.156202514708689</t>
  </si>
  <si>
    <t>16.20606598246665</t>
  </si>
  <si>
    <t>1.0809525469945314</t>
  </si>
  <si>
    <t>5.288085958592907</t>
  </si>
  <si>
    <t>0.10648381142128516</t>
  </si>
  <si>
    <t>8.148105432226975</t>
  </si>
  <si>
    <t>1.5598773281881817</t>
  </si>
  <si>
    <t>14.635521900753448</t>
  </si>
  <si>
    <t>5.783565077128863</t>
  </si>
  <si>
    <t>9.423451187562836</t>
  </si>
  <si>
    <t>3.3766721330514016</t>
  </si>
  <si>
    <t>5.188983421361526</t>
  </si>
  <si>
    <t>3.1657251211819615</t>
  </si>
  <si>
    <t>8.970850987369188</t>
  </si>
  <si>
    <t>10.723845585644083</t>
  </si>
  <si>
    <t>3.6243608722723453</t>
  </si>
  <si>
    <t>1.4835239118862442</t>
  </si>
  <si>
    <t>9.030940456348489</t>
  </si>
  <si>
    <t>14.132850434978678</t>
  </si>
  <si>
    <t>11.301475829602106</t>
  </si>
  <si>
    <t>6.544423663229077</t>
  </si>
  <si>
    <t>9.110033904384405</t>
  </si>
  <si>
    <t>16.02704116540497</t>
  </si>
  <si>
    <t>11.564595723390275</t>
  </si>
  <si>
    <t>4.562007558047703</t>
  </si>
  <si>
    <t>13.546836921630327</t>
  </si>
  <si>
    <t>12.312487933662533</t>
  </si>
  <si>
    <t>14.712853200227304</t>
  </si>
  <si>
    <t>17.376021916356407</t>
  </si>
  <si>
    <t>9.144608392390888</t>
  </si>
  <si>
    <t>9.005303869932764</t>
  </si>
  <si>
    <t>17.53120981577435</t>
  </si>
  <si>
    <t>17.881990722123184</t>
  </si>
  <si>
    <t>13.72048447871782</t>
  </si>
  <si>
    <t>7.3455540256141845</t>
  </si>
  <si>
    <t>14.84402018242265</t>
  </si>
  <si>
    <t>5.045056677103408</t>
  </si>
  <si>
    <t>13.748737218817347</t>
  </si>
  <si>
    <t>14.577410189771916</t>
  </si>
  <si>
    <t>13.080461553175208</t>
  </si>
  <si>
    <t>10.646205267598212</t>
  </si>
  <si>
    <t>17.066929952174476</t>
  </si>
  <si>
    <t>1.4204913529865326</t>
  </si>
  <si>
    <t>8.422378088681633</t>
  </si>
  <si>
    <t>2.3002187365619564</t>
  </si>
  <si>
    <t>11.717261010558431</t>
  </si>
  <si>
    <t>3.4341997794737633</t>
  </si>
  <si>
    <t>11.923653388047537</t>
  </si>
  <si>
    <t>8.143474771977505</t>
  </si>
  <si>
    <t>11.717042448663367</t>
  </si>
  <si>
    <t>16.808855010920404</t>
  </si>
  <si>
    <t>6.744040703379055</t>
  </si>
  <si>
    <t>0.8066032210302598</t>
  </si>
  <si>
    <t>16.827135426103972</t>
  </si>
  <si>
    <t>3.415365200066738</t>
  </si>
  <si>
    <t>3.5238881232849506</t>
  </si>
  <si>
    <t>18.220313999584402</t>
  </si>
  <si>
    <t>14.391168265308698</t>
  </si>
  <si>
    <t>10.264399516556376</t>
  </si>
  <si>
    <t>18.754092307587353</t>
  </si>
  <si>
    <t>5.276121498927151</t>
  </si>
  <si>
    <t>3.3719809686807367</t>
  </si>
  <si>
    <t>1.521999779615486</t>
  </si>
  <si>
    <t>17.232499001679567</t>
  </si>
  <si>
    <t>5.789957302394393</t>
  </si>
  <si>
    <t>9.648472031894578</t>
  </si>
  <si>
    <t>17.989061691076703</t>
  </si>
  <si>
    <t>16.564255157731886</t>
  </si>
  <si>
    <t>1.7601205502290451</t>
  </si>
  <si>
    <t>2.0205649298251704</t>
  </si>
  <si>
    <t>6.6828604476772435</t>
  </si>
  <si>
    <t>18.755291186364484</t>
  </si>
  <si>
    <t>10.697455115175105</t>
  </si>
  <si>
    <t>9.106574996172043</t>
  </si>
  <si>
    <t>14.203465331803214</t>
  </si>
  <si>
    <t>16.060910493517596</t>
  </si>
  <si>
    <t>17.637096016413658</t>
  </si>
  <si>
    <t>10.976835111869477</t>
  </si>
  <si>
    <t>0.38086818548583645</t>
  </si>
  <si>
    <t>6.779398523456428</t>
  </si>
  <si>
    <t>17.269829009256366</t>
  </si>
  <si>
    <t>11.660372948882728</t>
  </si>
  <si>
    <t>16.59287610705857</t>
  </si>
  <si>
    <t>1.4183238287713906</t>
  </si>
  <si>
    <t>4.550677538729266</t>
  </si>
  <si>
    <t>18.397418682610855</t>
  </si>
  <si>
    <t>3.3820780084130297</t>
  </si>
  <si>
    <t>2.2789053888908706</t>
  </si>
  <si>
    <t>19.411466652547208</t>
  </si>
  <si>
    <t>5.319481293082243</t>
  </si>
  <si>
    <t>9.786454949502428</t>
  </si>
  <si>
    <t>16.070835536528556</t>
  </si>
  <si>
    <t>6.736954028943054</t>
  </si>
  <si>
    <t>10.349220187685823</t>
  </si>
  <si>
    <t>13.399069817184362</t>
  </si>
  <si>
    <t>6.296823108174707</t>
  </si>
  <si>
    <t>18.58521950395784</t>
  </si>
  <si>
    <t>5.101744448427963</t>
  </si>
  <si>
    <t>17.782387114548857</t>
  </si>
  <si>
    <t>3.780345654929944</t>
  </si>
  <si>
    <t>2.1102729280240218</t>
  </si>
  <si>
    <t>18.819315756855875</t>
  </si>
  <si>
    <t>6.177217984729264</t>
  </si>
  <si>
    <t>18.274549880129186</t>
  </si>
  <si>
    <t>14.507792033236653</t>
  </si>
  <si>
    <t>16.83617418057638</t>
  </si>
  <si>
    <t>10.207854426974132</t>
  </si>
  <si>
    <t>0.47432720611581214</t>
  </si>
  <si>
    <t>10.130999998170944</t>
  </si>
  <si>
    <t>0.16216393772426452</t>
  </si>
  <si>
    <t>1.0715311921481585</t>
  </si>
  <si>
    <t>11.786632898954561</t>
  </si>
  <si>
    <t>5.609264484093048</t>
  </si>
  <si>
    <t>12.75860979159331</t>
  </si>
  <si>
    <t>11.985871326209574</t>
  </si>
  <si>
    <t>14.763015096833794</t>
  </si>
  <si>
    <t>14.121162292760616</t>
  </si>
  <si>
    <t>11.286021293396605</t>
  </si>
  <si>
    <t>15.385011184831734</t>
  </si>
  <si>
    <t>3.5282382085577235</t>
  </si>
  <si>
    <t>1.5216945353101452</t>
  </si>
  <si>
    <t>14.81559734321345</t>
  </si>
  <si>
    <t>15.701437231270255</t>
  </si>
  <si>
    <t>12.08977964516919</t>
  </si>
  <si>
    <t>0.5289380519533493</t>
  </si>
  <si>
    <t>0.3591572750030192</t>
  </si>
  <si>
    <t>9.636745071525164</t>
  </si>
  <si>
    <t>18.515770989891365</t>
  </si>
  <si>
    <t>16.665425640716958</t>
  </si>
  <si>
    <t>17.197089806702436</t>
  </si>
  <si>
    <t>3.875782600467097</t>
  </si>
  <si>
    <t>15.255981057516108</t>
  </si>
  <si>
    <t>4.424756396133674</t>
  </si>
  <si>
    <t>7.8736377198122565</t>
  </si>
  <si>
    <t>12.761854515929048</t>
  </si>
  <si>
    <t>18.652914346823355</t>
  </si>
  <si>
    <t>13.673990914492416</t>
  </si>
  <si>
    <t>10.87755842322235</t>
  </si>
  <si>
    <t>13.573201876537942</t>
  </si>
  <si>
    <t>4.661063759697173</t>
  </si>
  <si>
    <t>11.59072738299962</t>
  </si>
  <si>
    <t>3.058863729508523</t>
  </si>
  <si>
    <t>9.242809465398015</t>
  </si>
  <si>
    <t>1.7387912138450834</t>
  </si>
  <si>
    <t>19.441069492469765</t>
  </si>
  <si>
    <t>0.2727969167176214</t>
  </si>
  <si>
    <t>10.18226770375044</t>
  </si>
  <si>
    <t>14.832756372352417</t>
  </si>
  <si>
    <t>1.3559279165622518</t>
  </si>
  <si>
    <t>0.3052967929205952</t>
  </si>
  <si>
    <t>0.4080322137641268</t>
  </si>
  <si>
    <t>8.790155608951036</t>
  </si>
  <si>
    <t>19.46090699028322</t>
  </si>
  <si>
    <t>8.112387805108847</t>
  </si>
  <si>
    <t>2.5941251598005377</t>
  </si>
  <si>
    <t>12.665378346749778</t>
  </si>
  <si>
    <t>2.813066784673335</t>
  </si>
  <si>
    <t>4.596520835850722</t>
  </si>
  <si>
    <t>8.160401825701623</t>
  </si>
  <si>
    <t>9.913078417664941</t>
  </si>
  <si>
    <t>13.143953232801245</t>
  </si>
  <si>
    <t>0.7640556751478211</t>
  </si>
  <si>
    <t>12.080099954790002</t>
  </si>
  <si>
    <t>4.689680135663399</t>
  </si>
  <si>
    <t>6.446769161618873</t>
  </si>
  <si>
    <t>18.978324363774302</t>
  </si>
  <si>
    <t>5.880067771899062</t>
  </si>
  <si>
    <t>0.9591546487397529</t>
  </si>
  <si>
    <t>9.518126549464014</t>
  </si>
  <si>
    <t>4.671608684447184</t>
  </si>
  <si>
    <t>0.18483176811028734</t>
  </si>
  <si>
    <t>8.815098868826357</t>
  </si>
  <si>
    <t>17.955916127840517</t>
  </si>
  <si>
    <t>11.942332400310068</t>
  </si>
  <si>
    <t>10.268689942516403</t>
  </si>
  <si>
    <t>18.968503110829857</t>
  </si>
  <si>
    <t>15.440635719447096</t>
  </si>
  <si>
    <t>5.305701781721048</t>
  </si>
  <si>
    <t>15.538927767850424</t>
  </si>
  <si>
    <t>12.18935526733244</t>
  </si>
  <si>
    <t>11.223004248703488</t>
  </si>
  <si>
    <t>16.524347515504402</t>
  </si>
  <si>
    <t>6.104290602577183</t>
  </si>
  <si>
    <t>18.402276266452574</t>
  </si>
  <si>
    <t>0.18620581524707358</t>
  </si>
  <si>
    <t>16.63147851820905</t>
  </si>
  <si>
    <t>14.150456379560856</t>
  </si>
  <si>
    <t>15.36178756837333</t>
  </si>
  <si>
    <t>6.587070484999094</t>
  </si>
  <si>
    <t>0.3936643076282742</t>
  </si>
  <si>
    <t>10.868117043965281</t>
  </si>
  <si>
    <t>16.543162968552465</t>
  </si>
  <si>
    <t>16.246346654282377</t>
  </si>
  <si>
    <t>11.615936597069513</t>
  </si>
  <si>
    <t>8.359984338407031</t>
  </si>
  <si>
    <t>13.148886543549295</t>
  </si>
  <si>
    <t>3.287853686568283</t>
  </si>
  <si>
    <t>18.867145974197634</t>
  </si>
  <si>
    <t>4.819925159918359</t>
  </si>
  <si>
    <t>1.7119910564553664</t>
  </si>
  <si>
    <t>18.444466363097202</t>
  </si>
  <si>
    <t>11.808522062157827</t>
  </si>
  <si>
    <t>6.929385741573344</t>
  </si>
  <si>
    <t>11.863119910542686</t>
  </si>
  <si>
    <t>3.997459492988873</t>
  </si>
  <si>
    <t>14.944492901771739</t>
  </si>
  <si>
    <t>14.38045640867202</t>
  </si>
  <si>
    <t>10.364366312718548</t>
  </si>
  <si>
    <t>8.802415419698724</t>
  </si>
  <si>
    <t>19.27635322376361</t>
  </si>
  <si>
    <t>7.717188936722181</t>
  </si>
  <si>
    <t>11.628497897381742</t>
  </si>
  <si>
    <t>18.973081618059812</t>
  </si>
  <si>
    <t>16.567562912032926</t>
  </si>
  <si>
    <t>1.8731490521494898</t>
  </si>
  <si>
    <t>12.973900850660709</t>
  </si>
  <si>
    <t>18.580417714336022</t>
  </si>
  <si>
    <t>14.649092582674594</t>
  </si>
  <si>
    <t>6.955401952088756</t>
  </si>
  <si>
    <t>7.895506335433657</t>
  </si>
  <si>
    <t>8.315496019793029</t>
  </si>
  <si>
    <t>2.6186250425355495</t>
  </si>
  <si>
    <t>5.463192407398902</t>
  </si>
  <si>
    <t>13.856023972598175</t>
  </si>
  <si>
    <t>9.507181353617371</t>
  </si>
  <si>
    <t>6.393041245106012</t>
  </si>
  <si>
    <t>0.2602042685174544</t>
  </si>
  <si>
    <t>17.972778566022065</t>
  </si>
  <si>
    <t>19.08263283142145</t>
  </si>
  <si>
    <t>0.8769370499325979</t>
  </si>
  <si>
    <t>7.478774272075492</t>
  </si>
  <si>
    <t>8.933774434893298</t>
  </si>
  <si>
    <t>1.040916775122629</t>
  </si>
  <si>
    <t>7.663289371182516</t>
  </si>
  <si>
    <t>10.869397399627264</t>
  </si>
  <si>
    <t>5.0944100091509785</t>
  </si>
  <si>
    <t>11.859694955109878</t>
  </si>
  <si>
    <t>15.665801848777328</t>
  </si>
  <si>
    <t>5.928814495587944</t>
  </si>
  <si>
    <t>8.457368181181742</t>
  </si>
  <si>
    <t>7.102635280514327</t>
  </si>
  <si>
    <t>12.087614381656163</t>
  </si>
  <si>
    <t>7.560498988688041</t>
  </si>
  <si>
    <t>10.641736478760226</t>
  </si>
  <si>
    <t>13.38824128507287</t>
  </si>
  <si>
    <t>16.89418334151725</t>
  </si>
  <si>
    <t>9.844323665749338</t>
  </si>
  <si>
    <t>11.074564627967225</t>
  </si>
  <si>
    <t>4.461800368907117</t>
  </si>
  <si>
    <t>13.762353184127004</t>
  </si>
  <si>
    <t>3.0531632908156747</t>
  </si>
  <si>
    <t>11.296383257727921</t>
  </si>
  <si>
    <t>5.344197909721482</t>
  </si>
  <si>
    <t>2.8322270123579862</t>
  </si>
  <si>
    <t>13.796421426575238</t>
  </si>
  <si>
    <t>0.46094176813214816</t>
  </si>
  <si>
    <t>4.286001446457572</t>
  </si>
  <si>
    <t>1.7965150514416806</t>
  </si>
  <si>
    <t>3.4957343009031594</t>
  </si>
  <si>
    <t>13.095515025685206</t>
  </si>
  <si>
    <t>6.418708766388807</t>
  </si>
  <si>
    <t>15.013380285633097</t>
  </si>
  <si>
    <t>1.106647743266922</t>
  </si>
  <si>
    <t>9.037380893045556</t>
  </si>
  <si>
    <t>10.103280365866297</t>
  </si>
  <si>
    <t>9.381206804423073</t>
  </si>
  <si>
    <t>6.267353889145564</t>
  </si>
  <si>
    <t>6.7233067715915995</t>
  </si>
  <si>
    <t>14.098222654626722</t>
  </si>
  <si>
    <t>2.7791981049783243</t>
  </si>
  <si>
    <t>17.584086751707652</t>
  </si>
  <si>
    <t>0.7718312387626769</t>
  </si>
  <si>
    <t>6.580114593244657</t>
  </si>
  <si>
    <t>18.185300869106815</t>
  </si>
  <si>
    <t>6.414243299685878</t>
  </si>
  <si>
    <t>12.283377006377854</t>
  </si>
  <si>
    <t>5.733211625740459</t>
  </si>
  <si>
    <t>2.2521845869844137</t>
  </si>
  <si>
    <t>2.313504472962331</t>
  </si>
  <si>
    <t>13.735114405638178</t>
  </si>
  <si>
    <t>17.167467595221247</t>
  </si>
  <si>
    <t>4.0227308518075455</t>
  </si>
  <si>
    <t>17.07259857055914</t>
  </si>
  <si>
    <t>3.4135487060446734</t>
  </si>
  <si>
    <t>16.023430065906496</t>
  </si>
  <si>
    <t>11.262531877840939</t>
  </si>
  <si>
    <t>0.060417427123224954</t>
  </si>
  <si>
    <t>17.66699402044208</t>
  </si>
  <si>
    <t>1.591762947440849</t>
  </si>
  <si>
    <t>12.113984809197513</t>
  </si>
  <si>
    <t>0.2551295941486109</t>
  </si>
  <si>
    <t>10.845999512421582</t>
  </si>
  <si>
    <t>10.318917570508468</t>
  </si>
  <si>
    <t>14.64601541216362</t>
  </si>
  <si>
    <t>7.272228983801277</t>
  </si>
  <si>
    <t>1.0455274454441144</t>
  </si>
  <si>
    <t>6.879592726327404</t>
  </si>
  <si>
    <t>8.093074832971004</t>
  </si>
  <si>
    <t>13.864190844377354</t>
  </si>
  <si>
    <t>13.790684178108304</t>
  </si>
  <si>
    <t>14.887364086079813</t>
  </si>
  <si>
    <t>13.142376781225467</t>
  </si>
  <si>
    <t>15.956047444172155</t>
  </si>
  <si>
    <t>3.170404680548189</t>
  </si>
  <si>
    <t>18.974098364783615</t>
  </si>
  <si>
    <t>14.56941891117184</t>
  </si>
  <si>
    <t>11.778720451250956</t>
  </si>
  <si>
    <t>19.80445069230148</t>
  </si>
  <si>
    <t>19.609415955661422</t>
  </si>
  <si>
    <t>10.194463432071304</t>
  </si>
  <si>
    <t>16.476034998410757</t>
  </si>
  <si>
    <t>1.8976846029514927</t>
  </si>
  <si>
    <t>8.487780361450207</t>
  </si>
  <si>
    <t>11.966121513920376</t>
  </si>
  <si>
    <t>12.81420449454443</t>
  </si>
  <si>
    <t>13.661391503802482</t>
  </si>
  <si>
    <t>4.919994806135904</t>
  </si>
  <si>
    <t>3.3074085102637185</t>
  </si>
  <si>
    <t>2.337575211818781</t>
  </si>
  <si>
    <t>3.7827739265348015</t>
  </si>
  <si>
    <t>1.8207262989088346</t>
  </si>
  <si>
    <t>19.278320241463767</t>
  </si>
  <si>
    <t>7.7410002386977395</t>
  </si>
  <si>
    <t>11.426790569061541</t>
  </si>
  <si>
    <t>19.243718189836002</t>
  </si>
  <si>
    <t>18.079061303797786</t>
  </si>
  <si>
    <t>19.972346383287693</t>
  </si>
  <si>
    <t>3.533646283526104</t>
  </si>
  <si>
    <t>18.061950140986195</t>
  </si>
  <si>
    <t>7.622010272236281</t>
  </si>
  <si>
    <t>7.2516642518935415</t>
  </si>
  <si>
    <t>3.781553075566977</t>
  </si>
  <si>
    <t>10.960429944582701</t>
  </si>
  <si>
    <t>9.435126187817486</t>
  </si>
  <si>
    <t>10.889226642983372</t>
  </si>
  <si>
    <t>10.58871481082553</t>
  </si>
  <si>
    <t>2.0150568791915258</t>
  </si>
  <si>
    <t>18.179617838297283</t>
  </si>
  <si>
    <t>16.007283769106905</t>
  </si>
  <si>
    <t>17.507264798015214</t>
  </si>
  <si>
    <t>12.46628867518115</t>
  </si>
  <si>
    <t>2.7103374712150807</t>
  </si>
  <si>
    <t>15.457478727637062</t>
  </si>
  <si>
    <t>19.88575971522118</t>
  </si>
  <si>
    <t>0.3606401965046002</t>
  </si>
  <si>
    <t>18.144863345541573</t>
  </si>
  <si>
    <t>6.024625895878164</t>
  </si>
  <si>
    <t>1.7040095511932396</t>
  </si>
  <si>
    <t>3.4254682133247916</t>
  </si>
  <si>
    <t>5.269468913876965</t>
  </si>
  <si>
    <t>7.886822927013286</t>
  </si>
  <si>
    <t>17.067914670738833</t>
  </si>
  <si>
    <t>11.468032517954077</t>
  </si>
  <si>
    <t>8.070972416273767</t>
  </si>
  <si>
    <t>16.214413458903497</t>
  </si>
  <si>
    <t>3.4714428830287947</t>
  </si>
  <si>
    <t>0.8953677737697374</t>
  </si>
  <si>
    <t>15.532136795927812</t>
  </si>
  <si>
    <t>3.1447133018846696</t>
  </si>
  <si>
    <t>8.998255621710108</t>
  </si>
  <si>
    <t>7.9617435647246175</t>
  </si>
  <si>
    <t>7.937787861780792</t>
  </si>
  <si>
    <t>5.708105806056832</t>
  </si>
  <si>
    <t>17.998190867093435</t>
  </si>
  <si>
    <t>18.807940678910885</t>
  </si>
  <si>
    <t>17.75635280671638</t>
  </si>
  <si>
    <t>8.132730537699409</t>
  </si>
  <si>
    <t>9.925902510012794</t>
  </si>
  <si>
    <t>12.932422673151107</t>
  </si>
  <si>
    <t>13.434896809549668</t>
  </si>
  <si>
    <t>13.24743719825507</t>
  </si>
  <si>
    <t>10.856827486681492</t>
  </si>
  <si>
    <t>16.45776136587004</t>
  </si>
  <si>
    <t>18.92757306716742</t>
  </si>
  <si>
    <t>14.613580230567804</t>
  </si>
  <si>
    <t>18.85825422783513</t>
  </si>
  <si>
    <t>9.705614342203965</t>
  </si>
  <si>
    <t>13.370933902279706</t>
  </si>
  <si>
    <t>2.695715698348762</t>
  </si>
  <si>
    <t>0.1940070984608444</t>
  </si>
  <si>
    <t>12.233113512920282</t>
  </si>
  <si>
    <t>13.363613239158102</t>
  </si>
  <si>
    <t>17.622102967131315</t>
  </si>
  <si>
    <t>10.978650489986752</t>
  </si>
  <si>
    <t>15.14938101446206</t>
  </si>
  <si>
    <t>17.698534936899332</t>
  </si>
  <si>
    <t>4.452984704535707</t>
  </si>
  <si>
    <t>15.048184664240186</t>
  </si>
  <si>
    <t>1.5018729161062794</t>
  </si>
  <si>
    <t>13.924428722425448</t>
  </si>
  <si>
    <t>17.514340731178788</t>
  </si>
  <si>
    <t>6.386337600427481</t>
  </si>
  <si>
    <t>12.07510287675226</t>
  </si>
  <si>
    <t>13.600921127485396</t>
  </si>
  <si>
    <t>6.064390934371824</t>
  </si>
  <si>
    <t>5.592028652902636</t>
  </si>
  <si>
    <t>6.838689871494532</t>
  </si>
  <si>
    <t>5.577438525219298</t>
  </si>
  <si>
    <t>11.51002036938118</t>
  </si>
  <si>
    <t>10.251524318484233</t>
  </si>
  <si>
    <t>17.314544742135872</t>
  </si>
  <si>
    <t>16.583635598998356</t>
  </si>
  <si>
    <t>10.064384143659241</t>
  </si>
  <si>
    <t>1.8657476944393703</t>
  </si>
  <si>
    <t>5.407664706213127</t>
  </si>
  <si>
    <t>19.978093995261535</t>
  </si>
  <si>
    <t>2.6520798149362212</t>
  </si>
  <si>
    <t>14.572303135855538</t>
  </si>
  <si>
    <t>10.646087276963325</t>
  </si>
  <si>
    <t>6.890117867881265</t>
  </si>
  <si>
    <t>2.2677419110514507</t>
  </si>
  <si>
    <t>15.38339739047175</t>
  </si>
  <si>
    <t>13.360389050251198</t>
  </si>
  <si>
    <t>3.7872175158372556</t>
  </si>
  <si>
    <t>8.491452143719112</t>
  </si>
  <si>
    <t>18.948559961195862</t>
  </si>
  <si>
    <t>19.12039420973134</t>
  </si>
  <si>
    <t>13.098142462957181</t>
  </si>
  <si>
    <t>3.2499683094888288</t>
  </si>
  <si>
    <t>13.812306247732726</t>
  </si>
  <si>
    <t>11.872210888928286</t>
  </si>
  <si>
    <t>6.172652970479014</t>
  </si>
  <si>
    <t>11.406250156530078</t>
  </si>
  <si>
    <t>10.34241776226661</t>
  </si>
  <si>
    <t>10.254997995878592</t>
  </si>
  <si>
    <t>3.9674507969540262</t>
  </si>
  <si>
    <t>4.1604912546649775</t>
  </si>
  <si>
    <t>6.5749197669921315</t>
  </si>
  <si>
    <t>9.219391844250794</t>
  </si>
  <si>
    <t>16.028336218172544</t>
  </si>
  <si>
    <t>9.766698260086692</t>
  </si>
  <si>
    <t>5.638591035031215</t>
  </si>
  <si>
    <t>12.498875408156639</t>
  </si>
  <si>
    <t>9.213699469642675</t>
  </si>
  <si>
    <t>1.517432824480951</t>
  </si>
  <si>
    <t>16.117823383937086</t>
  </si>
  <si>
    <t>13.183110892002688</t>
  </si>
  <si>
    <t>2.5406715194646345</t>
  </si>
  <si>
    <t>7.156823172830665</t>
  </si>
  <si>
    <t>8.674474056628421</t>
  </si>
  <si>
    <t>13.01213046504207</t>
  </si>
  <si>
    <t>13.098822091346431</t>
  </si>
  <si>
    <t>14.082087215432736</t>
  </si>
  <si>
    <t>17.284612045231142</t>
  </si>
  <si>
    <t>8.094117486583404</t>
  </si>
  <si>
    <t>16.643249074582368</t>
  </si>
  <si>
    <t>5.7373374996558795</t>
  </si>
  <si>
    <t>3.480208960322484</t>
  </si>
  <si>
    <t>5.499583839472804</t>
  </si>
  <si>
    <t>6.265014809776439</t>
  </si>
  <si>
    <t>8.560387048792876</t>
  </si>
  <si>
    <t>15.450451835250888</t>
  </si>
  <si>
    <t>11.851363655296536</t>
  </si>
  <si>
    <t>1.9225170346430298</t>
  </si>
  <si>
    <t>10.367992532661303</t>
  </si>
  <si>
    <t>15.015804623595754</t>
  </si>
  <si>
    <t>10.871911498225842</t>
  </si>
  <si>
    <t>1.265253436413496</t>
  </si>
  <si>
    <t>5.2973251562714285</t>
  </si>
  <si>
    <t>17.18869165667102</t>
  </si>
  <si>
    <t>17.900677177068737</t>
  </si>
  <si>
    <t>1.938346541339897</t>
  </si>
  <si>
    <t>1.7554582824688114</t>
  </si>
  <si>
    <t>8.121642651195419</t>
  </si>
  <si>
    <t>Table 1</t>
  </si>
  <si>
    <t>Mean</t>
  </si>
  <si>
    <t>Median</t>
  </si>
  <si>
    <t>Mode</t>
  </si>
  <si>
    <t>Standard Deviation</t>
  </si>
  <si>
    <t>Sample Variance</t>
  </si>
  <si>
    <t>Margin Of Error</t>
  </si>
  <si>
    <t>Kurtosis</t>
  </si>
  <si>
    <t>Confidence Interval</t>
  </si>
  <si>
    <t>Skewness</t>
  </si>
  <si>
    <t>Range</t>
  </si>
  <si>
    <t>We are 95% confident that the sample mean is between (65.14919983,67.0288).</t>
  </si>
  <si>
    <t>Minimum</t>
  </si>
  <si>
    <t>Maximum</t>
  </si>
  <si>
    <t>Sum</t>
  </si>
  <si>
    <t>Count</t>
  </si>
  <si>
    <t>1st Quartile</t>
  </si>
  <si>
    <t>3rd Quartile</t>
  </si>
  <si>
    <t>Table 2</t>
  </si>
  <si>
    <t xml:space="preserve">Margin Of Error </t>
  </si>
  <si>
    <t>We are 95% confident that the sample mean is between (68.26408736,70.07391264).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</si>
  <si>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</si>
  <si>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</si>
  <si>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</si>
  <si>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</si>
  <si>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</si>
  <si>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</si>
  <si>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</si>
  <si>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</si>
  <si>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</si>
  <si>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</si>
  <si>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</si>
  <si>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</si>
  <si>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</si>
  <si>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</si>
  <si>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</si>
  <si>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</si>
  <si>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</si>
  <si>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</si>
  <si>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</si>
  <si>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</si>
  <si>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</si>
  <si>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</si>
  <si>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</si>
  <si>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</si>
  <si>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parental level of education</t>
  </si>
  <si>
    <t>All</t>
  </si>
  <si>
    <t>lunch</t>
  </si>
  <si>
    <t>test preparation course</t>
  </si>
  <si>
    <t>Sum of math score</t>
  </si>
  <si>
    <t>Sum of writing score</t>
  </si>
  <si>
    <t>Sum of reading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</si>
</sst>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/>
    <xf numFmtId="0" fontId="0" fillId="0" borderId="0" xfId="0" quotePrefix="1"/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pivotButton="1" applyAlignment="1">
      <alignment horizontal="left"/>
    </xf>
    <xf numFmtId="0" fontId="1" fillId="0" borderId="2" xfId="0" applyFont="1" applyBorder="1" applyAlignment="1">
      <alignment horizontal="centerContinuous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1">
    <dxf>
      <alignment horizontal="lef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[Group 9.xlsx]Data Set!PivotTable10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Parental</a:t>
            </a:r>
            <a:r>
              <a:rPr lang="en-US" baseline="0"/>
              <a:t> Education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'Data Set'!$O$14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3D-4426-A62F-FF7BA95B26B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3D-4426-A62F-FF7BA95B26B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3D-4426-A62F-FF7BA95B26B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3D-4426-A62F-FF7BA95B26B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73D-4426-A62F-FF7BA95B26B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73D-4426-A62F-FF7BA95B26B6}"/>
              </c:ext>
            </c:extLst>
          </c:dPt>
          <c:cat>
            <c:strRef>
              <c:f>'Data Set'!$N$15:$N$21</c:f>
              <c:strCache>
                <c:ptCount val="6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</c:strCache>
            </c:strRef>
          </c:cat>
          <c:val>
            <c:numRef>
              <c:f>'Data Set'!$O$15:$O$21</c:f>
              <c:numCache>
                <c:formatCode>General</c:formatCode>
                <c:ptCount val="6"/>
                <c:pt idx="0">
                  <c:v>222</c:v>
                </c:pt>
                <c:pt idx="1">
                  <c:v>118</c:v>
                </c:pt>
                <c:pt idx="2">
                  <c:v>196</c:v>
                </c:pt>
                <c:pt idx="3">
                  <c:v>59</c:v>
                </c:pt>
                <c:pt idx="4">
                  <c:v>225</c:v>
                </c:pt>
                <c:pt idx="5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5-4CC2-9D4C-4670B2C2D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[Group 9.xlsx]Data Set!PivotTable1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'Data Set'!$O$60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DB-0243-9C05-FD2AB3C9DD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DB-0243-9C05-FD2AB3C9DD6A}"/>
              </c:ext>
            </c:extLst>
          </c:dPt>
          <c:cat>
            <c:strRef>
              <c:f>'Data Set'!$N$61:$N$63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'Data Set'!$O$61:$O$63</c:f>
              <c:numCache>
                <c:formatCode>General</c:formatCode>
                <c:ptCount val="2"/>
                <c:pt idx="0">
                  <c:v>513</c:v>
                </c:pt>
                <c:pt idx="1">
                  <c:v>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0-4A06-9C53-810F611D7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[Group 9.xlsx]Data Set!PivotTable11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Lunch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'Data Set'!$O$39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36-0A4E-8E1D-DEB17FCA4F1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36-0A4E-8E1D-DEB17FCA4F19}"/>
              </c:ext>
            </c:extLst>
          </c:dPt>
          <c:cat>
            <c:strRef>
              <c:f>'Data Set'!$N$40:$N$42</c:f>
              <c:strCache>
                <c:ptCount val="2"/>
                <c:pt idx="0">
                  <c:v>free/reduced</c:v>
                </c:pt>
                <c:pt idx="1">
                  <c:v>standard</c:v>
                </c:pt>
              </c:strCache>
            </c:strRef>
          </c:cat>
          <c:val>
            <c:numRef>
              <c:f>'Data Set'!$O$40:$O$42</c:f>
              <c:numCache>
                <c:formatCode>General</c:formatCode>
                <c:ptCount val="2"/>
                <c:pt idx="0">
                  <c:v>354</c:v>
                </c:pt>
                <c:pt idx="1">
                  <c:v>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2-4583-A328-97417176E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'Data Set'!$H$2:$H$1001</c:f>
              <c:numCache>
                <c:formatCode>General</c:formatCode>
                <c:ptCount val="1000"/>
                <c:pt idx="0">
                  <c:v>72</c:v>
                </c:pt>
                <c:pt idx="1">
                  <c:v>69</c:v>
                </c:pt>
                <c:pt idx="2">
                  <c:v>90</c:v>
                </c:pt>
                <c:pt idx="3">
                  <c:v>47</c:v>
                </c:pt>
                <c:pt idx="4">
                  <c:v>76</c:v>
                </c:pt>
                <c:pt idx="5">
                  <c:v>71</c:v>
                </c:pt>
                <c:pt idx="6">
                  <c:v>88</c:v>
                </c:pt>
                <c:pt idx="7">
                  <c:v>40</c:v>
                </c:pt>
                <c:pt idx="8">
                  <c:v>64</c:v>
                </c:pt>
                <c:pt idx="9">
                  <c:v>38</c:v>
                </c:pt>
                <c:pt idx="10">
                  <c:v>58</c:v>
                </c:pt>
                <c:pt idx="11">
                  <c:v>40</c:v>
                </c:pt>
                <c:pt idx="12">
                  <c:v>65</c:v>
                </c:pt>
                <c:pt idx="13">
                  <c:v>78</c:v>
                </c:pt>
                <c:pt idx="14">
                  <c:v>50</c:v>
                </c:pt>
                <c:pt idx="15">
                  <c:v>69</c:v>
                </c:pt>
                <c:pt idx="16">
                  <c:v>88</c:v>
                </c:pt>
                <c:pt idx="17">
                  <c:v>18</c:v>
                </c:pt>
                <c:pt idx="18">
                  <c:v>46</c:v>
                </c:pt>
                <c:pt idx="19">
                  <c:v>54</c:v>
                </c:pt>
                <c:pt idx="20">
                  <c:v>66</c:v>
                </c:pt>
                <c:pt idx="21">
                  <c:v>65</c:v>
                </c:pt>
                <c:pt idx="22">
                  <c:v>44</c:v>
                </c:pt>
                <c:pt idx="23">
                  <c:v>69</c:v>
                </c:pt>
                <c:pt idx="24">
                  <c:v>74</c:v>
                </c:pt>
                <c:pt idx="25">
                  <c:v>73</c:v>
                </c:pt>
                <c:pt idx="26">
                  <c:v>69</c:v>
                </c:pt>
                <c:pt idx="27">
                  <c:v>67</c:v>
                </c:pt>
                <c:pt idx="28">
                  <c:v>70</c:v>
                </c:pt>
                <c:pt idx="29">
                  <c:v>62</c:v>
                </c:pt>
                <c:pt idx="30">
                  <c:v>69</c:v>
                </c:pt>
                <c:pt idx="31">
                  <c:v>63</c:v>
                </c:pt>
                <c:pt idx="32">
                  <c:v>56</c:v>
                </c:pt>
                <c:pt idx="33">
                  <c:v>40</c:v>
                </c:pt>
                <c:pt idx="34">
                  <c:v>97</c:v>
                </c:pt>
                <c:pt idx="35">
                  <c:v>81</c:v>
                </c:pt>
                <c:pt idx="36">
                  <c:v>74</c:v>
                </c:pt>
                <c:pt idx="37">
                  <c:v>50</c:v>
                </c:pt>
                <c:pt idx="38">
                  <c:v>75</c:v>
                </c:pt>
                <c:pt idx="39">
                  <c:v>57</c:v>
                </c:pt>
                <c:pt idx="40">
                  <c:v>55</c:v>
                </c:pt>
                <c:pt idx="41">
                  <c:v>58</c:v>
                </c:pt>
                <c:pt idx="42">
                  <c:v>53</c:v>
                </c:pt>
                <c:pt idx="43">
                  <c:v>59</c:v>
                </c:pt>
                <c:pt idx="44">
                  <c:v>50</c:v>
                </c:pt>
                <c:pt idx="45">
                  <c:v>65</c:v>
                </c:pt>
                <c:pt idx="46">
                  <c:v>55</c:v>
                </c:pt>
                <c:pt idx="47">
                  <c:v>66</c:v>
                </c:pt>
                <c:pt idx="48">
                  <c:v>57</c:v>
                </c:pt>
                <c:pt idx="49">
                  <c:v>82</c:v>
                </c:pt>
                <c:pt idx="50">
                  <c:v>53</c:v>
                </c:pt>
                <c:pt idx="51">
                  <c:v>77</c:v>
                </c:pt>
                <c:pt idx="52">
                  <c:v>53</c:v>
                </c:pt>
                <c:pt idx="53">
                  <c:v>88</c:v>
                </c:pt>
                <c:pt idx="54">
                  <c:v>71</c:v>
                </c:pt>
                <c:pt idx="55">
                  <c:v>33</c:v>
                </c:pt>
                <c:pt idx="56">
                  <c:v>82</c:v>
                </c:pt>
                <c:pt idx="57">
                  <c:v>52</c:v>
                </c:pt>
                <c:pt idx="58">
                  <c:v>58</c:v>
                </c:pt>
                <c:pt idx="59">
                  <c:v>0</c:v>
                </c:pt>
                <c:pt idx="60">
                  <c:v>79</c:v>
                </c:pt>
                <c:pt idx="61">
                  <c:v>39</c:v>
                </c:pt>
                <c:pt idx="62">
                  <c:v>62</c:v>
                </c:pt>
                <c:pt idx="63">
                  <c:v>69</c:v>
                </c:pt>
                <c:pt idx="64">
                  <c:v>59</c:v>
                </c:pt>
                <c:pt idx="65">
                  <c:v>67</c:v>
                </c:pt>
                <c:pt idx="66">
                  <c:v>45</c:v>
                </c:pt>
                <c:pt idx="67">
                  <c:v>60</c:v>
                </c:pt>
                <c:pt idx="68">
                  <c:v>61</c:v>
                </c:pt>
                <c:pt idx="69">
                  <c:v>39</c:v>
                </c:pt>
                <c:pt idx="70">
                  <c:v>58</c:v>
                </c:pt>
                <c:pt idx="71">
                  <c:v>63</c:v>
                </c:pt>
                <c:pt idx="72">
                  <c:v>41</c:v>
                </c:pt>
                <c:pt idx="73">
                  <c:v>61</c:v>
                </c:pt>
                <c:pt idx="74">
                  <c:v>49</c:v>
                </c:pt>
                <c:pt idx="75">
                  <c:v>44</c:v>
                </c:pt>
                <c:pt idx="76">
                  <c:v>30</c:v>
                </c:pt>
                <c:pt idx="77">
                  <c:v>80</c:v>
                </c:pt>
                <c:pt idx="78">
                  <c:v>61</c:v>
                </c:pt>
                <c:pt idx="79">
                  <c:v>62</c:v>
                </c:pt>
                <c:pt idx="80">
                  <c:v>47</c:v>
                </c:pt>
                <c:pt idx="81">
                  <c:v>49</c:v>
                </c:pt>
                <c:pt idx="82">
                  <c:v>50</c:v>
                </c:pt>
                <c:pt idx="83">
                  <c:v>72</c:v>
                </c:pt>
                <c:pt idx="84">
                  <c:v>42</c:v>
                </c:pt>
                <c:pt idx="85">
                  <c:v>73</c:v>
                </c:pt>
                <c:pt idx="86">
                  <c:v>76</c:v>
                </c:pt>
                <c:pt idx="87">
                  <c:v>71</c:v>
                </c:pt>
                <c:pt idx="88">
                  <c:v>58</c:v>
                </c:pt>
                <c:pt idx="89">
                  <c:v>73</c:v>
                </c:pt>
                <c:pt idx="90">
                  <c:v>65</c:v>
                </c:pt>
                <c:pt idx="91">
                  <c:v>27</c:v>
                </c:pt>
                <c:pt idx="92">
                  <c:v>71</c:v>
                </c:pt>
                <c:pt idx="93">
                  <c:v>43</c:v>
                </c:pt>
                <c:pt idx="94">
                  <c:v>79</c:v>
                </c:pt>
                <c:pt idx="95">
                  <c:v>78</c:v>
                </c:pt>
                <c:pt idx="96">
                  <c:v>65</c:v>
                </c:pt>
                <c:pt idx="97">
                  <c:v>63</c:v>
                </c:pt>
                <c:pt idx="98">
                  <c:v>58</c:v>
                </c:pt>
                <c:pt idx="99">
                  <c:v>65</c:v>
                </c:pt>
                <c:pt idx="100">
                  <c:v>79</c:v>
                </c:pt>
                <c:pt idx="101">
                  <c:v>68</c:v>
                </c:pt>
                <c:pt idx="102">
                  <c:v>85</c:v>
                </c:pt>
                <c:pt idx="103">
                  <c:v>60</c:v>
                </c:pt>
                <c:pt idx="104">
                  <c:v>98</c:v>
                </c:pt>
                <c:pt idx="105">
                  <c:v>58</c:v>
                </c:pt>
                <c:pt idx="106">
                  <c:v>87</c:v>
                </c:pt>
                <c:pt idx="107">
                  <c:v>66</c:v>
                </c:pt>
                <c:pt idx="108">
                  <c:v>52</c:v>
                </c:pt>
                <c:pt idx="109">
                  <c:v>70</c:v>
                </c:pt>
                <c:pt idx="110">
                  <c:v>77</c:v>
                </c:pt>
                <c:pt idx="111">
                  <c:v>62</c:v>
                </c:pt>
                <c:pt idx="112">
                  <c:v>54</c:v>
                </c:pt>
                <c:pt idx="113">
                  <c:v>51</c:v>
                </c:pt>
                <c:pt idx="114">
                  <c:v>99</c:v>
                </c:pt>
                <c:pt idx="115">
                  <c:v>84</c:v>
                </c:pt>
                <c:pt idx="116">
                  <c:v>75</c:v>
                </c:pt>
                <c:pt idx="117">
                  <c:v>78</c:v>
                </c:pt>
                <c:pt idx="118">
                  <c:v>51</c:v>
                </c:pt>
                <c:pt idx="119">
                  <c:v>55</c:v>
                </c:pt>
                <c:pt idx="120">
                  <c:v>79</c:v>
                </c:pt>
                <c:pt idx="121">
                  <c:v>91</c:v>
                </c:pt>
                <c:pt idx="122">
                  <c:v>88</c:v>
                </c:pt>
                <c:pt idx="123">
                  <c:v>63</c:v>
                </c:pt>
                <c:pt idx="124">
                  <c:v>83</c:v>
                </c:pt>
                <c:pt idx="125">
                  <c:v>87</c:v>
                </c:pt>
                <c:pt idx="126">
                  <c:v>72</c:v>
                </c:pt>
                <c:pt idx="127">
                  <c:v>65</c:v>
                </c:pt>
                <c:pt idx="128">
                  <c:v>82</c:v>
                </c:pt>
                <c:pt idx="129">
                  <c:v>51</c:v>
                </c:pt>
                <c:pt idx="130">
                  <c:v>89</c:v>
                </c:pt>
                <c:pt idx="131">
                  <c:v>53</c:v>
                </c:pt>
                <c:pt idx="132">
                  <c:v>87</c:v>
                </c:pt>
                <c:pt idx="133">
                  <c:v>75</c:v>
                </c:pt>
                <c:pt idx="134">
                  <c:v>74</c:v>
                </c:pt>
                <c:pt idx="135">
                  <c:v>58</c:v>
                </c:pt>
                <c:pt idx="136">
                  <c:v>51</c:v>
                </c:pt>
                <c:pt idx="137">
                  <c:v>70</c:v>
                </c:pt>
                <c:pt idx="138">
                  <c:v>59</c:v>
                </c:pt>
                <c:pt idx="139">
                  <c:v>71</c:v>
                </c:pt>
                <c:pt idx="140">
                  <c:v>76</c:v>
                </c:pt>
                <c:pt idx="141">
                  <c:v>59</c:v>
                </c:pt>
                <c:pt idx="142">
                  <c:v>42</c:v>
                </c:pt>
                <c:pt idx="143">
                  <c:v>57</c:v>
                </c:pt>
                <c:pt idx="144">
                  <c:v>88</c:v>
                </c:pt>
                <c:pt idx="145">
                  <c:v>22</c:v>
                </c:pt>
                <c:pt idx="146">
                  <c:v>88</c:v>
                </c:pt>
                <c:pt idx="147">
                  <c:v>73</c:v>
                </c:pt>
                <c:pt idx="148">
                  <c:v>68</c:v>
                </c:pt>
                <c:pt idx="149">
                  <c:v>100</c:v>
                </c:pt>
                <c:pt idx="150">
                  <c:v>62</c:v>
                </c:pt>
                <c:pt idx="151">
                  <c:v>77</c:v>
                </c:pt>
                <c:pt idx="152">
                  <c:v>59</c:v>
                </c:pt>
                <c:pt idx="153">
                  <c:v>54</c:v>
                </c:pt>
                <c:pt idx="154">
                  <c:v>62</c:v>
                </c:pt>
                <c:pt idx="155">
                  <c:v>70</c:v>
                </c:pt>
                <c:pt idx="156">
                  <c:v>66</c:v>
                </c:pt>
                <c:pt idx="157">
                  <c:v>60</c:v>
                </c:pt>
                <c:pt idx="158">
                  <c:v>61</c:v>
                </c:pt>
                <c:pt idx="159">
                  <c:v>66</c:v>
                </c:pt>
                <c:pt idx="160">
                  <c:v>82</c:v>
                </c:pt>
                <c:pt idx="161">
                  <c:v>75</c:v>
                </c:pt>
                <c:pt idx="162">
                  <c:v>49</c:v>
                </c:pt>
                <c:pt idx="163">
                  <c:v>52</c:v>
                </c:pt>
                <c:pt idx="164">
                  <c:v>81</c:v>
                </c:pt>
                <c:pt idx="165">
                  <c:v>96</c:v>
                </c:pt>
                <c:pt idx="166">
                  <c:v>53</c:v>
                </c:pt>
                <c:pt idx="167">
                  <c:v>58</c:v>
                </c:pt>
                <c:pt idx="168">
                  <c:v>68</c:v>
                </c:pt>
                <c:pt idx="169">
                  <c:v>67</c:v>
                </c:pt>
                <c:pt idx="170">
                  <c:v>72</c:v>
                </c:pt>
                <c:pt idx="171">
                  <c:v>94</c:v>
                </c:pt>
                <c:pt idx="172">
                  <c:v>79</c:v>
                </c:pt>
                <c:pt idx="173">
                  <c:v>63</c:v>
                </c:pt>
                <c:pt idx="174">
                  <c:v>43</c:v>
                </c:pt>
                <c:pt idx="175">
                  <c:v>81</c:v>
                </c:pt>
                <c:pt idx="176">
                  <c:v>46</c:v>
                </c:pt>
                <c:pt idx="177">
                  <c:v>71</c:v>
                </c:pt>
                <c:pt idx="178">
                  <c:v>52</c:v>
                </c:pt>
                <c:pt idx="179">
                  <c:v>97</c:v>
                </c:pt>
                <c:pt idx="180">
                  <c:v>62</c:v>
                </c:pt>
                <c:pt idx="181">
                  <c:v>46</c:v>
                </c:pt>
                <c:pt idx="182">
                  <c:v>50</c:v>
                </c:pt>
                <c:pt idx="183">
                  <c:v>65</c:v>
                </c:pt>
                <c:pt idx="184">
                  <c:v>45</c:v>
                </c:pt>
                <c:pt idx="185">
                  <c:v>65</c:v>
                </c:pt>
                <c:pt idx="186">
                  <c:v>80</c:v>
                </c:pt>
                <c:pt idx="187">
                  <c:v>62</c:v>
                </c:pt>
                <c:pt idx="188">
                  <c:v>48</c:v>
                </c:pt>
                <c:pt idx="189">
                  <c:v>77</c:v>
                </c:pt>
                <c:pt idx="190">
                  <c:v>66</c:v>
                </c:pt>
                <c:pt idx="191">
                  <c:v>76</c:v>
                </c:pt>
                <c:pt idx="192">
                  <c:v>62</c:v>
                </c:pt>
                <c:pt idx="193">
                  <c:v>77</c:v>
                </c:pt>
                <c:pt idx="194">
                  <c:v>69</c:v>
                </c:pt>
                <c:pt idx="195">
                  <c:v>61</c:v>
                </c:pt>
                <c:pt idx="196">
                  <c:v>59</c:v>
                </c:pt>
                <c:pt idx="197">
                  <c:v>55</c:v>
                </c:pt>
                <c:pt idx="198">
                  <c:v>45</c:v>
                </c:pt>
                <c:pt idx="199">
                  <c:v>78</c:v>
                </c:pt>
                <c:pt idx="200">
                  <c:v>67</c:v>
                </c:pt>
                <c:pt idx="201">
                  <c:v>65</c:v>
                </c:pt>
                <c:pt idx="202">
                  <c:v>69</c:v>
                </c:pt>
                <c:pt idx="203">
                  <c:v>57</c:v>
                </c:pt>
                <c:pt idx="204">
                  <c:v>59</c:v>
                </c:pt>
                <c:pt idx="205">
                  <c:v>74</c:v>
                </c:pt>
                <c:pt idx="206">
                  <c:v>82</c:v>
                </c:pt>
                <c:pt idx="207">
                  <c:v>81</c:v>
                </c:pt>
                <c:pt idx="208">
                  <c:v>74</c:v>
                </c:pt>
                <c:pt idx="209">
                  <c:v>58</c:v>
                </c:pt>
                <c:pt idx="210">
                  <c:v>80</c:v>
                </c:pt>
                <c:pt idx="211">
                  <c:v>35</c:v>
                </c:pt>
                <c:pt idx="212">
                  <c:v>42</c:v>
                </c:pt>
                <c:pt idx="213">
                  <c:v>60</c:v>
                </c:pt>
                <c:pt idx="214">
                  <c:v>87</c:v>
                </c:pt>
                <c:pt idx="215">
                  <c:v>84</c:v>
                </c:pt>
                <c:pt idx="216">
                  <c:v>83</c:v>
                </c:pt>
                <c:pt idx="217">
                  <c:v>34</c:v>
                </c:pt>
                <c:pt idx="218">
                  <c:v>66</c:v>
                </c:pt>
                <c:pt idx="219">
                  <c:v>61</c:v>
                </c:pt>
                <c:pt idx="220">
                  <c:v>56</c:v>
                </c:pt>
                <c:pt idx="221">
                  <c:v>87</c:v>
                </c:pt>
                <c:pt idx="222">
                  <c:v>55</c:v>
                </c:pt>
                <c:pt idx="223">
                  <c:v>86</c:v>
                </c:pt>
                <c:pt idx="224">
                  <c:v>52</c:v>
                </c:pt>
                <c:pt idx="225">
                  <c:v>45</c:v>
                </c:pt>
                <c:pt idx="226">
                  <c:v>72</c:v>
                </c:pt>
                <c:pt idx="227">
                  <c:v>57</c:v>
                </c:pt>
                <c:pt idx="228">
                  <c:v>68</c:v>
                </c:pt>
                <c:pt idx="229">
                  <c:v>88</c:v>
                </c:pt>
                <c:pt idx="230">
                  <c:v>76</c:v>
                </c:pt>
                <c:pt idx="231">
                  <c:v>46</c:v>
                </c:pt>
                <c:pt idx="232">
                  <c:v>67</c:v>
                </c:pt>
                <c:pt idx="233">
                  <c:v>92</c:v>
                </c:pt>
                <c:pt idx="234">
                  <c:v>83</c:v>
                </c:pt>
                <c:pt idx="235">
                  <c:v>80</c:v>
                </c:pt>
                <c:pt idx="236">
                  <c:v>63</c:v>
                </c:pt>
                <c:pt idx="237">
                  <c:v>64</c:v>
                </c:pt>
                <c:pt idx="238">
                  <c:v>54</c:v>
                </c:pt>
                <c:pt idx="239">
                  <c:v>84</c:v>
                </c:pt>
                <c:pt idx="240">
                  <c:v>73</c:v>
                </c:pt>
                <c:pt idx="241">
                  <c:v>80</c:v>
                </c:pt>
                <c:pt idx="242">
                  <c:v>56</c:v>
                </c:pt>
                <c:pt idx="243">
                  <c:v>59</c:v>
                </c:pt>
                <c:pt idx="244">
                  <c:v>75</c:v>
                </c:pt>
                <c:pt idx="245">
                  <c:v>85</c:v>
                </c:pt>
                <c:pt idx="246">
                  <c:v>89</c:v>
                </c:pt>
                <c:pt idx="247">
                  <c:v>58</c:v>
                </c:pt>
                <c:pt idx="248">
                  <c:v>65</c:v>
                </c:pt>
                <c:pt idx="249">
                  <c:v>68</c:v>
                </c:pt>
                <c:pt idx="250">
                  <c:v>47</c:v>
                </c:pt>
                <c:pt idx="251">
                  <c:v>71</c:v>
                </c:pt>
                <c:pt idx="252">
                  <c:v>60</c:v>
                </c:pt>
                <c:pt idx="253">
                  <c:v>80</c:v>
                </c:pt>
                <c:pt idx="254">
                  <c:v>54</c:v>
                </c:pt>
                <c:pt idx="255">
                  <c:v>62</c:v>
                </c:pt>
                <c:pt idx="256">
                  <c:v>64</c:v>
                </c:pt>
                <c:pt idx="257">
                  <c:v>78</c:v>
                </c:pt>
                <c:pt idx="258">
                  <c:v>70</c:v>
                </c:pt>
                <c:pt idx="259">
                  <c:v>65</c:v>
                </c:pt>
                <c:pt idx="260">
                  <c:v>64</c:v>
                </c:pt>
                <c:pt idx="261">
                  <c:v>79</c:v>
                </c:pt>
                <c:pt idx="262">
                  <c:v>44</c:v>
                </c:pt>
                <c:pt idx="263">
                  <c:v>99</c:v>
                </c:pt>
                <c:pt idx="264">
                  <c:v>76</c:v>
                </c:pt>
                <c:pt idx="265">
                  <c:v>59</c:v>
                </c:pt>
                <c:pt idx="266">
                  <c:v>63</c:v>
                </c:pt>
                <c:pt idx="267">
                  <c:v>69</c:v>
                </c:pt>
                <c:pt idx="268">
                  <c:v>88</c:v>
                </c:pt>
                <c:pt idx="269">
                  <c:v>71</c:v>
                </c:pt>
                <c:pt idx="270">
                  <c:v>69</c:v>
                </c:pt>
                <c:pt idx="271">
                  <c:v>58</c:v>
                </c:pt>
                <c:pt idx="272">
                  <c:v>47</c:v>
                </c:pt>
                <c:pt idx="273">
                  <c:v>65</c:v>
                </c:pt>
                <c:pt idx="274">
                  <c:v>88</c:v>
                </c:pt>
                <c:pt idx="275">
                  <c:v>83</c:v>
                </c:pt>
                <c:pt idx="276">
                  <c:v>85</c:v>
                </c:pt>
                <c:pt idx="277">
                  <c:v>59</c:v>
                </c:pt>
                <c:pt idx="278">
                  <c:v>65</c:v>
                </c:pt>
                <c:pt idx="279">
                  <c:v>73</c:v>
                </c:pt>
                <c:pt idx="280">
                  <c:v>53</c:v>
                </c:pt>
                <c:pt idx="281">
                  <c:v>45</c:v>
                </c:pt>
                <c:pt idx="282">
                  <c:v>73</c:v>
                </c:pt>
                <c:pt idx="283">
                  <c:v>70</c:v>
                </c:pt>
                <c:pt idx="284">
                  <c:v>37</c:v>
                </c:pt>
                <c:pt idx="285">
                  <c:v>81</c:v>
                </c:pt>
                <c:pt idx="286">
                  <c:v>97</c:v>
                </c:pt>
                <c:pt idx="287">
                  <c:v>67</c:v>
                </c:pt>
                <c:pt idx="288">
                  <c:v>88</c:v>
                </c:pt>
                <c:pt idx="289">
                  <c:v>77</c:v>
                </c:pt>
                <c:pt idx="290">
                  <c:v>76</c:v>
                </c:pt>
                <c:pt idx="291">
                  <c:v>86</c:v>
                </c:pt>
                <c:pt idx="292">
                  <c:v>63</c:v>
                </c:pt>
                <c:pt idx="293">
                  <c:v>65</c:v>
                </c:pt>
                <c:pt idx="294">
                  <c:v>78</c:v>
                </c:pt>
                <c:pt idx="295">
                  <c:v>67</c:v>
                </c:pt>
                <c:pt idx="296">
                  <c:v>46</c:v>
                </c:pt>
                <c:pt idx="297">
                  <c:v>71</c:v>
                </c:pt>
                <c:pt idx="298">
                  <c:v>40</c:v>
                </c:pt>
                <c:pt idx="299">
                  <c:v>90</c:v>
                </c:pt>
                <c:pt idx="300">
                  <c:v>81</c:v>
                </c:pt>
                <c:pt idx="301">
                  <c:v>56</c:v>
                </c:pt>
                <c:pt idx="302">
                  <c:v>67</c:v>
                </c:pt>
                <c:pt idx="303">
                  <c:v>80</c:v>
                </c:pt>
                <c:pt idx="304">
                  <c:v>74</c:v>
                </c:pt>
                <c:pt idx="305">
                  <c:v>69</c:v>
                </c:pt>
                <c:pt idx="306">
                  <c:v>99</c:v>
                </c:pt>
                <c:pt idx="307">
                  <c:v>51</c:v>
                </c:pt>
                <c:pt idx="308">
                  <c:v>53</c:v>
                </c:pt>
                <c:pt idx="309">
                  <c:v>49</c:v>
                </c:pt>
                <c:pt idx="310">
                  <c:v>73</c:v>
                </c:pt>
                <c:pt idx="311">
                  <c:v>66</c:v>
                </c:pt>
                <c:pt idx="312">
                  <c:v>67</c:v>
                </c:pt>
                <c:pt idx="313">
                  <c:v>68</c:v>
                </c:pt>
                <c:pt idx="314">
                  <c:v>59</c:v>
                </c:pt>
                <c:pt idx="315">
                  <c:v>71</c:v>
                </c:pt>
                <c:pt idx="316">
                  <c:v>77</c:v>
                </c:pt>
                <c:pt idx="317">
                  <c:v>83</c:v>
                </c:pt>
                <c:pt idx="318">
                  <c:v>63</c:v>
                </c:pt>
                <c:pt idx="319">
                  <c:v>56</c:v>
                </c:pt>
                <c:pt idx="320">
                  <c:v>67</c:v>
                </c:pt>
                <c:pt idx="321">
                  <c:v>75</c:v>
                </c:pt>
                <c:pt idx="322">
                  <c:v>71</c:v>
                </c:pt>
                <c:pt idx="323">
                  <c:v>43</c:v>
                </c:pt>
                <c:pt idx="324">
                  <c:v>41</c:v>
                </c:pt>
                <c:pt idx="325">
                  <c:v>82</c:v>
                </c:pt>
                <c:pt idx="326">
                  <c:v>61</c:v>
                </c:pt>
                <c:pt idx="327">
                  <c:v>28</c:v>
                </c:pt>
                <c:pt idx="328">
                  <c:v>82</c:v>
                </c:pt>
                <c:pt idx="329">
                  <c:v>41</c:v>
                </c:pt>
                <c:pt idx="330">
                  <c:v>71</c:v>
                </c:pt>
                <c:pt idx="331">
                  <c:v>47</c:v>
                </c:pt>
                <c:pt idx="332">
                  <c:v>62</c:v>
                </c:pt>
                <c:pt idx="333">
                  <c:v>90</c:v>
                </c:pt>
                <c:pt idx="334">
                  <c:v>83</c:v>
                </c:pt>
                <c:pt idx="335">
                  <c:v>61</c:v>
                </c:pt>
                <c:pt idx="336">
                  <c:v>76</c:v>
                </c:pt>
                <c:pt idx="337">
                  <c:v>49</c:v>
                </c:pt>
                <c:pt idx="338">
                  <c:v>24</c:v>
                </c:pt>
                <c:pt idx="339">
                  <c:v>35</c:v>
                </c:pt>
                <c:pt idx="340">
                  <c:v>58</c:v>
                </c:pt>
                <c:pt idx="341">
                  <c:v>61</c:v>
                </c:pt>
                <c:pt idx="342">
                  <c:v>69</c:v>
                </c:pt>
                <c:pt idx="343">
                  <c:v>67</c:v>
                </c:pt>
                <c:pt idx="344">
                  <c:v>79</c:v>
                </c:pt>
                <c:pt idx="345">
                  <c:v>72</c:v>
                </c:pt>
                <c:pt idx="346">
                  <c:v>62</c:v>
                </c:pt>
                <c:pt idx="347">
                  <c:v>77</c:v>
                </c:pt>
                <c:pt idx="348">
                  <c:v>75</c:v>
                </c:pt>
                <c:pt idx="349">
                  <c:v>87</c:v>
                </c:pt>
                <c:pt idx="350">
                  <c:v>52</c:v>
                </c:pt>
                <c:pt idx="351">
                  <c:v>66</c:v>
                </c:pt>
                <c:pt idx="352">
                  <c:v>63</c:v>
                </c:pt>
                <c:pt idx="353">
                  <c:v>46</c:v>
                </c:pt>
                <c:pt idx="354">
                  <c:v>59</c:v>
                </c:pt>
                <c:pt idx="355">
                  <c:v>61</c:v>
                </c:pt>
                <c:pt idx="356">
                  <c:v>63</c:v>
                </c:pt>
                <c:pt idx="357">
                  <c:v>42</c:v>
                </c:pt>
                <c:pt idx="358">
                  <c:v>59</c:v>
                </c:pt>
                <c:pt idx="359">
                  <c:v>80</c:v>
                </c:pt>
                <c:pt idx="360">
                  <c:v>58</c:v>
                </c:pt>
                <c:pt idx="361">
                  <c:v>85</c:v>
                </c:pt>
                <c:pt idx="362">
                  <c:v>52</c:v>
                </c:pt>
                <c:pt idx="363">
                  <c:v>27</c:v>
                </c:pt>
                <c:pt idx="364">
                  <c:v>59</c:v>
                </c:pt>
                <c:pt idx="365">
                  <c:v>49</c:v>
                </c:pt>
                <c:pt idx="366">
                  <c:v>69</c:v>
                </c:pt>
                <c:pt idx="367">
                  <c:v>61</c:v>
                </c:pt>
                <c:pt idx="368">
                  <c:v>44</c:v>
                </c:pt>
                <c:pt idx="369">
                  <c:v>73</c:v>
                </c:pt>
                <c:pt idx="370">
                  <c:v>84</c:v>
                </c:pt>
                <c:pt idx="371">
                  <c:v>45</c:v>
                </c:pt>
                <c:pt idx="372">
                  <c:v>74</c:v>
                </c:pt>
                <c:pt idx="373">
                  <c:v>82</c:v>
                </c:pt>
                <c:pt idx="374">
                  <c:v>59</c:v>
                </c:pt>
                <c:pt idx="375">
                  <c:v>46</c:v>
                </c:pt>
                <c:pt idx="376">
                  <c:v>80</c:v>
                </c:pt>
                <c:pt idx="377">
                  <c:v>85</c:v>
                </c:pt>
                <c:pt idx="378">
                  <c:v>71</c:v>
                </c:pt>
                <c:pt idx="379">
                  <c:v>66</c:v>
                </c:pt>
                <c:pt idx="380">
                  <c:v>80</c:v>
                </c:pt>
                <c:pt idx="381">
                  <c:v>87</c:v>
                </c:pt>
                <c:pt idx="382">
                  <c:v>79</c:v>
                </c:pt>
                <c:pt idx="383">
                  <c:v>38</c:v>
                </c:pt>
                <c:pt idx="384">
                  <c:v>38</c:v>
                </c:pt>
                <c:pt idx="385">
                  <c:v>67</c:v>
                </c:pt>
                <c:pt idx="386">
                  <c:v>64</c:v>
                </c:pt>
                <c:pt idx="387">
                  <c:v>57</c:v>
                </c:pt>
                <c:pt idx="388">
                  <c:v>62</c:v>
                </c:pt>
                <c:pt idx="389">
                  <c:v>73</c:v>
                </c:pt>
                <c:pt idx="390">
                  <c:v>73</c:v>
                </c:pt>
                <c:pt idx="391">
                  <c:v>77</c:v>
                </c:pt>
                <c:pt idx="392">
                  <c:v>76</c:v>
                </c:pt>
                <c:pt idx="393">
                  <c:v>57</c:v>
                </c:pt>
                <c:pt idx="394">
                  <c:v>65</c:v>
                </c:pt>
                <c:pt idx="395">
                  <c:v>48</c:v>
                </c:pt>
                <c:pt idx="396">
                  <c:v>50</c:v>
                </c:pt>
                <c:pt idx="397">
                  <c:v>85</c:v>
                </c:pt>
                <c:pt idx="398">
                  <c:v>74</c:v>
                </c:pt>
                <c:pt idx="399">
                  <c:v>60</c:v>
                </c:pt>
                <c:pt idx="400">
                  <c:v>59</c:v>
                </c:pt>
                <c:pt idx="401">
                  <c:v>53</c:v>
                </c:pt>
                <c:pt idx="402">
                  <c:v>49</c:v>
                </c:pt>
                <c:pt idx="403">
                  <c:v>88</c:v>
                </c:pt>
                <c:pt idx="404">
                  <c:v>54</c:v>
                </c:pt>
                <c:pt idx="405">
                  <c:v>63</c:v>
                </c:pt>
                <c:pt idx="406">
                  <c:v>65</c:v>
                </c:pt>
                <c:pt idx="407">
                  <c:v>82</c:v>
                </c:pt>
                <c:pt idx="408">
                  <c:v>52</c:v>
                </c:pt>
                <c:pt idx="409">
                  <c:v>87</c:v>
                </c:pt>
                <c:pt idx="410">
                  <c:v>70</c:v>
                </c:pt>
                <c:pt idx="411">
                  <c:v>84</c:v>
                </c:pt>
                <c:pt idx="412">
                  <c:v>71</c:v>
                </c:pt>
                <c:pt idx="413">
                  <c:v>63</c:v>
                </c:pt>
                <c:pt idx="414">
                  <c:v>51</c:v>
                </c:pt>
                <c:pt idx="415">
                  <c:v>84</c:v>
                </c:pt>
                <c:pt idx="416">
                  <c:v>71</c:v>
                </c:pt>
                <c:pt idx="417">
                  <c:v>74</c:v>
                </c:pt>
                <c:pt idx="418">
                  <c:v>68</c:v>
                </c:pt>
                <c:pt idx="419">
                  <c:v>57</c:v>
                </c:pt>
                <c:pt idx="420">
                  <c:v>82</c:v>
                </c:pt>
                <c:pt idx="421">
                  <c:v>57</c:v>
                </c:pt>
                <c:pt idx="422">
                  <c:v>47</c:v>
                </c:pt>
                <c:pt idx="423">
                  <c:v>59</c:v>
                </c:pt>
                <c:pt idx="424">
                  <c:v>41</c:v>
                </c:pt>
                <c:pt idx="425">
                  <c:v>62</c:v>
                </c:pt>
                <c:pt idx="426">
                  <c:v>86</c:v>
                </c:pt>
                <c:pt idx="427">
                  <c:v>69</c:v>
                </c:pt>
                <c:pt idx="428">
                  <c:v>65</c:v>
                </c:pt>
                <c:pt idx="429">
                  <c:v>68</c:v>
                </c:pt>
                <c:pt idx="430">
                  <c:v>64</c:v>
                </c:pt>
                <c:pt idx="431">
                  <c:v>61</c:v>
                </c:pt>
                <c:pt idx="432">
                  <c:v>61</c:v>
                </c:pt>
                <c:pt idx="433">
                  <c:v>47</c:v>
                </c:pt>
                <c:pt idx="434">
                  <c:v>73</c:v>
                </c:pt>
                <c:pt idx="435">
                  <c:v>50</c:v>
                </c:pt>
                <c:pt idx="436">
                  <c:v>75</c:v>
                </c:pt>
                <c:pt idx="437">
                  <c:v>75</c:v>
                </c:pt>
                <c:pt idx="438">
                  <c:v>70</c:v>
                </c:pt>
                <c:pt idx="439">
                  <c:v>89</c:v>
                </c:pt>
                <c:pt idx="440">
                  <c:v>67</c:v>
                </c:pt>
                <c:pt idx="441">
                  <c:v>78</c:v>
                </c:pt>
                <c:pt idx="442">
                  <c:v>59</c:v>
                </c:pt>
                <c:pt idx="443">
                  <c:v>73</c:v>
                </c:pt>
                <c:pt idx="444">
                  <c:v>79</c:v>
                </c:pt>
                <c:pt idx="445">
                  <c:v>67</c:v>
                </c:pt>
                <c:pt idx="446">
                  <c:v>69</c:v>
                </c:pt>
                <c:pt idx="447">
                  <c:v>86</c:v>
                </c:pt>
                <c:pt idx="448">
                  <c:v>47</c:v>
                </c:pt>
                <c:pt idx="449">
                  <c:v>81</c:v>
                </c:pt>
                <c:pt idx="450">
                  <c:v>64</c:v>
                </c:pt>
                <c:pt idx="451">
                  <c:v>100</c:v>
                </c:pt>
                <c:pt idx="452">
                  <c:v>65</c:v>
                </c:pt>
                <c:pt idx="453">
                  <c:v>65</c:v>
                </c:pt>
                <c:pt idx="454">
                  <c:v>53</c:v>
                </c:pt>
                <c:pt idx="455">
                  <c:v>37</c:v>
                </c:pt>
                <c:pt idx="456">
                  <c:v>79</c:v>
                </c:pt>
                <c:pt idx="457">
                  <c:v>53</c:v>
                </c:pt>
                <c:pt idx="458">
                  <c:v>100</c:v>
                </c:pt>
                <c:pt idx="459">
                  <c:v>72</c:v>
                </c:pt>
                <c:pt idx="460">
                  <c:v>53</c:v>
                </c:pt>
                <c:pt idx="461">
                  <c:v>54</c:v>
                </c:pt>
                <c:pt idx="462">
                  <c:v>71</c:v>
                </c:pt>
                <c:pt idx="463">
                  <c:v>77</c:v>
                </c:pt>
                <c:pt idx="464">
                  <c:v>75</c:v>
                </c:pt>
                <c:pt idx="465">
                  <c:v>84</c:v>
                </c:pt>
                <c:pt idx="466">
                  <c:v>26</c:v>
                </c:pt>
                <c:pt idx="467">
                  <c:v>72</c:v>
                </c:pt>
                <c:pt idx="468">
                  <c:v>77</c:v>
                </c:pt>
                <c:pt idx="469">
                  <c:v>91</c:v>
                </c:pt>
                <c:pt idx="470">
                  <c:v>83</c:v>
                </c:pt>
                <c:pt idx="471">
                  <c:v>63</c:v>
                </c:pt>
                <c:pt idx="472">
                  <c:v>68</c:v>
                </c:pt>
                <c:pt idx="473">
                  <c:v>59</c:v>
                </c:pt>
                <c:pt idx="474">
                  <c:v>90</c:v>
                </c:pt>
                <c:pt idx="475">
                  <c:v>71</c:v>
                </c:pt>
                <c:pt idx="476">
                  <c:v>76</c:v>
                </c:pt>
                <c:pt idx="477">
                  <c:v>80</c:v>
                </c:pt>
                <c:pt idx="478">
                  <c:v>55</c:v>
                </c:pt>
                <c:pt idx="479">
                  <c:v>76</c:v>
                </c:pt>
                <c:pt idx="480">
                  <c:v>73</c:v>
                </c:pt>
                <c:pt idx="481">
                  <c:v>52</c:v>
                </c:pt>
                <c:pt idx="482">
                  <c:v>68</c:v>
                </c:pt>
                <c:pt idx="483">
                  <c:v>59</c:v>
                </c:pt>
                <c:pt idx="484">
                  <c:v>49</c:v>
                </c:pt>
                <c:pt idx="485">
                  <c:v>70</c:v>
                </c:pt>
                <c:pt idx="486">
                  <c:v>61</c:v>
                </c:pt>
                <c:pt idx="487">
                  <c:v>60</c:v>
                </c:pt>
                <c:pt idx="488">
                  <c:v>64</c:v>
                </c:pt>
                <c:pt idx="489">
                  <c:v>79</c:v>
                </c:pt>
                <c:pt idx="490">
                  <c:v>65</c:v>
                </c:pt>
                <c:pt idx="491">
                  <c:v>64</c:v>
                </c:pt>
                <c:pt idx="492">
                  <c:v>83</c:v>
                </c:pt>
                <c:pt idx="493">
                  <c:v>81</c:v>
                </c:pt>
                <c:pt idx="494">
                  <c:v>54</c:v>
                </c:pt>
                <c:pt idx="495">
                  <c:v>68</c:v>
                </c:pt>
                <c:pt idx="496">
                  <c:v>54</c:v>
                </c:pt>
                <c:pt idx="497">
                  <c:v>59</c:v>
                </c:pt>
                <c:pt idx="498">
                  <c:v>66</c:v>
                </c:pt>
                <c:pt idx="499">
                  <c:v>76</c:v>
                </c:pt>
                <c:pt idx="500">
                  <c:v>74</c:v>
                </c:pt>
                <c:pt idx="501">
                  <c:v>94</c:v>
                </c:pt>
                <c:pt idx="502">
                  <c:v>63</c:v>
                </c:pt>
                <c:pt idx="503">
                  <c:v>95</c:v>
                </c:pt>
                <c:pt idx="504">
                  <c:v>40</c:v>
                </c:pt>
                <c:pt idx="505">
                  <c:v>82</c:v>
                </c:pt>
                <c:pt idx="506">
                  <c:v>68</c:v>
                </c:pt>
                <c:pt idx="507">
                  <c:v>55</c:v>
                </c:pt>
                <c:pt idx="508">
                  <c:v>79</c:v>
                </c:pt>
                <c:pt idx="509">
                  <c:v>86</c:v>
                </c:pt>
                <c:pt idx="510">
                  <c:v>76</c:v>
                </c:pt>
                <c:pt idx="511">
                  <c:v>64</c:v>
                </c:pt>
                <c:pt idx="512">
                  <c:v>62</c:v>
                </c:pt>
                <c:pt idx="513">
                  <c:v>54</c:v>
                </c:pt>
                <c:pt idx="514">
                  <c:v>77</c:v>
                </c:pt>
                <c:pt idx="515">
                  <c:v>76</c:v>
                </c:pt>
                <c:pt idx="516">
                  <c:v>74</c:v>
                </c:pt>
                <c:pt idx="517">
                  <c:v>66</c:v>
                </c:pt>
                <c:pt idx="518">
                  <c:v>66</c:v>
                </c:pt>
                <c:pt idx="519">
                  <c:v>67</c:v>
                </c:pt>
                <c:pt idx="520">
                  <c:v>71</c:v>
                </c:pt>
                <c:pt idx="521">
                  <c:v>91</c:v>
                </c:pt>
                <c:pt idx="522">
                  <c:v>69</c:v>
                </c:pt>
                <c:pt idx="523">
                  <c:v>54</c:v>
                </c:pt>
                <c:pt idx="524">
                  <c:v>53</c:v>
                </c:pt>
                <c:pt idx="525">
                  <c:v>68</c:v>
                </c:pt>
                <c:pt idx="526">
                  <c:v>56</c:v>
                </c:pt>
                <c:pt idx="527">
                  <c:v>36</c:v>
                </c:pt>
                <c:pt idx="528">
                  <c:v>29</c:v>
                </c:pt>
                <c:pt idx="529">
                  <c:v>62</c:v>
                </c:pt>
                <c:pt idx="530">
                  <c:v>68</c:v>
                </c:pt>
                <c:pt idx="531">
                  <c:v>47</c:v>
                </c:pt>
                <c:pt idx="532">
                  <c:v>62</c:v>
                </c:pt>
                <c:pt idx="533">
                  <c:v>79</c:v>
                </c:pt>
                <c:pt idx="534">
                  <c:v>73</c:v>
                </c:pt>
                <c:pt idx="535">
                  <c:v>66</c:v>
                </c:pt>
                <c:pt idx="536">
                  <c:v>51</c:v>
                </c:pt>
                <c:pt idx="537">
                  <c:v>51</c:v>
                </c:pt>
                <c:pt idx="538">
                  <c:v>85</c:v>
                </c:pt>
                <c:pt idx="539">
                  <c:v>97</c:v>
                </c:pt>
                <c:pt idx="540">
                  <c:v>75</c:v>
                </c:pt>
                <c:pt idx="541">
                  <c:v>79</c:v>
                </c:pt>
                <c:pt idx="542">
                  <c:v>81</c:v>
                </c:pt>
                <c:pt idx="543">
                  <c:v>82</c:v>
                </c:pt>
                <c:pt idx="544">
                  <c:v>64</c:v>
                </c:pt>
                <c:pt idx="545">
                  <c:v>78</c:v>
                </c:pt>
                <c:pt idx="546">
                  <c:v>92</c:v>
                </c:pt>
                <c:pt idx="547">
                  <c:v>72</c:v>
                </c:pt>
                <c:pt idx="548">
                  <c:v>62</c:v>
                </c:pt>
                <c:pt idx="549">
                  <c:v>79</c:v>
                </c:pt>
                <c:pt idx="550">
                  <c:v>79</c:v>
                </c:pt>
                <c:pt idx="551">
                  <c:v>87</c:v>
                </c:pt>
                <c:pt idx="552">
                  <c:v>40</c:v>
                </c:pt>
                <c:pt idx="553">
                  <c:v>77</c:v>
                </c:pt>
                <c:pt idx="554">
                  <c:v>53</c:v>
                </c:pt>
                <c:pt idx="555">
                  <c:v>32</c:v>
                </c:pt>
                <c:pt idx="556">
                  <c:v>55</c:v>
                </c:pt>
                <c:pt idx="557">
                  <c:v>61</c:v>
                </c:pt>
                <c:pt idx="558">
                  <c:v>53</c:v>
                </c:pt>
                <c:pt idx="559">
                  <c:v>73</c:v>
                </c:pt>
                <c:pt idx="560">
                  <c:v>74</c:v>
                </c:pt>
                <c:pt idx="561">
                  <c:v>63</c:v>
                </c:pt>
                <c:pt idx="562">
                  <c:v>96</c:v>
                </c:pt>
                <c:pt idx="563">
                  <c:v>63</c:v>
                </c:pt>
                <c:pt idx="564">
                  <c:v>48</c:v>
                </c:pt>
                <c:pt idx="565">
                  <c:v>48</c:v>
                </c:pt>
                <c:pt idx="566">
                  <c:v>92</c:v>
                </c:pt>
                <c:pt idx="567">
                  <c:v>61</c:v>
                </c:pt>
                <c:pt idx="568">
                  <c:v>63</c:v>
                </c:pt>
                <c:pt idx="569">
                  <c:v>68</c:v>
                </c:pt>
                <c:pt idx="570">
                  <c:v>71</c:v>
                </c:pt>
                <c:pt idx="571">
                  <c:v>91</c:v>
                </c:pt>
                <c:pt idx="572">
                  <c:v>53</c:v>
                </c:pt>
                <c:pt idx="573">
                  <c:v>50</c:v>
                </c:pt>
                <c:pt idx="574">
                  <c:v>74</c:v>
                </c:pt>
                <c:pt idx="575">
                  <c:v>40</c:v>
                </c:pt>
                <c:pt idx="576">
                  <c:v>61</c:v>
                </c:pt>
                <c:pt idx="577">
                  <c:v>81</c:v>
                </c:pt>
                <c:pt idx="578">
                  <c:v>48</c:v>
                </c:pt>
                <c:pt idx="579">
                  <c:v>53</c:v>
                </c:pt>
                <c:pt idx="580">
                  <c:v>81</c:v>
                </c:pt>
                <c:pt idx="581">
                  <c:v>77</c:v>
                </c:pt>
                <c:pt idx="582">
                  <c:v>63</c:v>
                </c:pt>
                <c:pt idx="583">
                  <c:v>73</c:v>
                </c:pt>
                <c:pt idx="584">
                  <c:v>69</c:v>
                </c:pt>
                <c:pt idx="585">
                  <c:v>65</c:v>
                </c:pt>
                <c:pt idx="586">
                  <c:v>55</c:v>
                </c:pt>
                <c:pt idx="587">
                  <c:v>44</c:v>
                </c:pt>
                <c:pt idx="588">
                  <c:v>54</c:v>
                </c:pt>
                <c:pt idx="589">
                  <c:v>48</c:v>
                </c:pt>
                <c:pt idx="590">
                  <c:v>58</c:v>
                </c:pt>
                <c:pt idx="591">
                  <c:v>71</c:v>
                </c:pt>
                <c:pt idx="592">
                  <c:v>68</c:v>
                </c:pt>
                <c:pt idx="593">
                  <c:v>74</c:v>
                </c:pt>
                <c:pt idx="594">
                  <c:v>92</c:v>
                </c:pt>
                <c:pt idx="595">
                  <c:v>56</c:v>
                </c:pt>
                <c:pt idx="596">
                  <c:v>30</c:v>
                </c:pt>
                <c:pt idx="597">
                  <c:v>53</c:v>
                </c:pt>
                <c:pt idx="598">
                  <c:v>69</c:v>
                </c:pt>
                <c:pt idx="599">
                  <c:v>65</c:v>
                </c:pt>
                <c:pt idx="600">
                  <c:v>54</c:v>
                </c:pt>
                <c:pt idx="601">
                  <c:v>29</c:v>
                </c:pt>
                <c:pt idx="602">
                  <c:v>76</c:v>
                </c:pt>
                <c:pt idx="603">
                  <c:v>60</c:v>
                </c:pt>
                <c:pt idx="604">
                  <c:v>84</c:v>
                </c:pt>
                <c:pt idx="605">
                  <c:v>75</c:v>
                </c:pt>
                <c:pt idx="606">
                  <c:v>85</c:v>
                </c:pt>
                <c:pt idx="607">
                  <c:v>40</c:v>
                </c:pt>
                <c:pt idx="608">
                  <c:v>61</c:v>
                </c:pt>
                <c:pt idx="609">
                  <c:v>58</c:v>
                </c:pt>
                <c:pt idx="610">
                  <c:v>69</c:v>
                </c:pt>
                <c:pt idx="611">
                  <c:v>58</c:v>
                </c:pt>
                <c:pt idx="612">
                  <c:v>94</c:v>
                </c:pt>
                <c:pt idx="613">
                  <c:v>65</c:v>
                </c:pt>
                <c:pt idx="614">
                  <c:v>82</c:v>
                </c:pt>
                <c:pt idx="615">
                  <c:v>60</c:v>
                </c:pt>
                <c:pt idx="616">
                  <c:v>37</c:v>
                </c:pt>
                <c:pt idx="617">
                  <c:v>88</c:v>
                </c:pt>
                <c:pt idx="618">
                  <c:v>95</c:v>
                </c:pt>
                <c:pt idx="619">
                  <c:v>65</c:v>
                </c:pt>
                <c:pt idx="620">
                  <c:v>35</c:v>
                </c:pt>
                <c:pt idx="621">
                  <c:v>62</c:v>
                </c:pt>
                <c:pt idx="622">
                  <c:v>58</c:v>
                </c:pt>
                <c:pt idx="623">
                  <c:v>100</c:v>
                </c:pt>
                <c:pt idx="624">
                  <c:v>61</c:v>
                </c:pt>
                <c:pt idx="625">
                  <c:v>100</c:v>
                </c:pt>
                <c:pt idx="626">
                  <c:v>69</c:v>
                </c:pt>
                <c:pt idx="627">
                  <c:v>61</c:v>
                </c:pt>
                <c:pt idx="628">
                  <c:v>49</c:v>
                </c:pt>
                <c:pt idx="629">
                  <c:v>44</c:v>
                </c:pt>
                <c:pt idx="630">
                  <c:v>67</c:v>
                </c:pt>
                <c:pt idx="631">
                  <c:v>79</c:v>
                </c:pt>
                <c:pt idx="632">
                  <c:v>66</c:v>
                </c:pt>
                <c:pt idx="633">
                  <c:v>75</c:v>
                </c:pt>
                <c:pt idx="634">
                  <c:v>84</c:v>
                </c:pt>
                <c:pt idx="635">
                  <c:v>71</c:v>
                </c:pt>
                <c:pt idx="636">
                  <c:v>67</c:v>
                </c:pt>
                <c:pt idx="637">
                  <c:v>80</c:v>
                </c:pt>
                <c:pt idx="638">
                  <c:v>86</c:v>
                </c:pt>
                <c:pt idx="639">
                  <c:v>76</c:v>
                </c:pt>
                <c:pt idx="640">
                  <c:v>41</c:v>
                </c:pt>
                <c:pt idx="641">
                  <c:v>74</c:v>
                </c:pt>
                <c:pt idx="642">
                  <c:v>72</c:v>
                </c:pt>
                <c:pt idx="643">
                  <c:v>74</c:v>
                </c:pt>
                <c:pt idx="644">
                  <c:v>70</c:v>
                </c:pt>
                <c:pt idx="645">
                  <c:v>65</c:v>
                </c:pt>
                <c:pt idx="646">
                  <c:v>59</c:v>
                </c:pt>
                <c:pt idx="647">
                  <c:v>64</c:v>
                </c:pt>
                <c:pt idx="648">
                  <c:v>50</c:v>
                </c:pt>
                <c:pt idx="649">
                  <c:v>69</c:v>
                </c:pt>
                <c:pt idx="650">
                  <c:v>51</c:v>
                </c:pt>
                <c:pt idx="651">
                  <c:v>68</c:v>
                </c:pt>
                <c:pt idx="652">
                  <c:v>85</c:v>
                </c:pt>
                <c:pt idx="653">
                  <c:v>65</c:v>
                </c:pt>
                <c:pt idx="654">
                  <c:v>73</c:v>
                </c:pt>
                <c:pt idx="655">
                  <c:v>62</c:v>
                </c:pt>
                <c:pt idx="656">
                  <c:v>77</c:v>
                </c:pt>
                <c:pt idx="657">
                  <c:v>69</c:v>
                </c:pt>
                <c:pt idx="658">
                  <c:v>43</c:v>
                </c:pt>
                <c:pt idx="659">
                  <c:v>90</c:v>
                </c:pt>
                <c:pt idx="660">
                  <c:v>74</c:v>
                </c:pt>
                <c:pt idx="661">
                  <c:v>73</c:v>
                </c:pt>
                <c:pt idx="662">
                  <c:v>55</c:v>
                </c:pt>
                <c:pt idx="663">
                  <c:v>65</c:v>
                </c:pt>
                <c:pt idx="664">
                  <c:v>80</c:v>
                </c:pt>
                <c:pt idx="665">
                  <c:v>50</c:v>
                </c:pt>
                <c:pt idx="666">
                  <c:v>63</c:v>
                </c:pt>
                <c:pt idx="667">
                  <c:v>77</c:v>
                </c:pt>
                <c:pt idx="668">
                  <c:v>73</c:v>
                </c:pt>
                <c:pt idx="669">
                  <c:v>81</c:v>
                </c:pt>
                <c:pt idx="670">
                  <c:v>66</c:v>
                </c:pt>
                <c:pt idx="671">
                  <c:v>52</c:v>
                </c:pt>
                <c:pt idx="672">
                  <c:v>69</c:v>
                </c:pt>
                <c:pt idx="673">
                  <c:v>65</c:v>
                </c:pt>
                <c:pt idx="674">
                  <c:v>69</c:v>
                </c:pt>
                <c:pt idx="675">
                  <c:v>50</c:v>
                </c:pt>
                <c:pt idx="676">
                  <c:v>73</c:v>
                </c:pt>
                <c:pt idx="677">
                  <c:v>70</c:v>
                </c:pt>
                <c:pt idx="678">
                  <c:v>81</c:v>
                </c:pt>
                <c:pt idx="679">
                  <c:v>63</c:v>
                </c:pt>
                <c:pt idx="680">
                  <c:v>67</c:v>
                </c:pt>
                <c:pt idx="681">
                  <c:v>60</c:v>
                </c:pt>
                <c:pt idx="682">
                  <c:v>62</c:v>
                </c:pt>
                <c:pt idx="683">
                  <c:v>29</c:v>
                </c:pt>
                <c:pt idx="684">
                  <c:v>62</c:v>
                </c:pt>
                <c:pt idx="685">
                  <c:v>94</c:v>
                </c:pt>
                <c:pt idx="686">
                  <c:v>85</c:v>
                </c:pt>
                <c:pt idx="687">
                  <c:v>77</c:v>
                </c:pt>
                <c:pt idx="688">
                  <c:v>53</c:v>
                </c:pt>
                <c:pt idx="689">
                  <c:v>93</c:v>
                </c:pt>
                <c:pt idx="690">
                  <c:v>49</c:v>
                </c:pt>
                <c:pt idx="691">
                  <c:v>73</c:v>
                </c:pt>
                <c:pt idx="692">
                  <c:v>66</c:v>
                </c:pt>
                <c:pt idx="693">
                  <c:v>77</c:v>
                </c:pt>
                <c:pt idx="694">
                  <c:v>49</c:v>
                </c:pt>
                <c:pt idx="695">
                  <c:v>79</c:v>
                </c:pt>
                <c:pt idx="696">
                  <c:v>75</c:v>
                </c:pt>
                <c:pt idx="697">
                  <c:v>59</c:v>
                </c:pt>
                <c:pt idx="698">
                  <c:v>57</c:v>
                </c:pt>
                <c:pt idx="699">
                  <c:v>66</c:v>
                </c:pt>
                <c:pt idx="700">
                  <c:v>79</c:v>
                </c:pt>
                <c:pt idx="701">
                  <c:v>57</c:v>
                </c:pt>
                <c:pt idx="702">
                  <c:v>87</c:v>
                </c:pt>
                <c:pt idx="703">
                  <c:v>63</c:v>
                </c:pt>
                <c:pt idx="704">
                  <c:v>59</c:v>
                </c:pt>
                <c:pt idx="705">
                  <c:v>62</c:v>
                </c:pt>
                <c:pt idx="706">
                  <c:v>46</c:v>
                </c:pt>
                <c:pt idx="707">
                  <c:v>66</c:v>
                </c:pt>
                <c:pt idx="708">
                  <c:v>89</c:v>
                </c:pt>
                <c:pt idx="709">
                  <c:v>42</c:v>
                </c:pt>
                <c:pt idx="710">
                  <c:v>93</c:v>
                </c:pt>
                <c:pt idx="711">
                  <c:v>80</c:v>
                </c:pt>
                <c:pt idx="712">
                  <c:v>98</c:v>
                </c:pt>
                <c:pt idx="713">
                  <c:v>81</c:v>
                </c:pt>
                <c:pt idx="714">
                  <c:v>60</c:v>
                </c:pt>
                <c:pt idx="715">
                  <c:v>76</c:v>
                </c:pt>
                <c:pt idx="716">
                  <c:v>73</c:v>
                </c:pt>
                <c:pt idx="717">
                  <c:v>96</c:v>
                </c:pt>
                <c:pt idx="718">
                  <c:v>76</c:v>
                </c:pt>
                <c:pt idx="719">
                  <c:v>91</c:v>
                </c:pt>
                <c:pt idx="720">
                  <c:v>62</c:v>
                </c:pt>
                <c:pt idx="721">
                  <c:v>55</c:v>
                </c:pt>
                <c:pt idx="722">
                  <c:v>74</c:v>
                </c:pt>
                <c:pt idx="723">
                  <c:v>50</c:v>
                </c:pt>
                <c:pt idx="724">
                  <c:v>47</c:v>
                </c:pt>
                <c:pt idx="725">
                  <c:v>81</c:v>
                </c:pt>
                <c:pt idx="726">
                  <c:v>65</c:v>
                </c:pt>
                <c:pt idx="727">
                  <c:v>68</c:v>
                </c:pt>
                <c:pt idx="728">
                  <c:v>73</c:v>
                </c:pt>
                <c:pt idx="729">
                  <c:v>53</c:v>
                </c:pt>
                <c:pt idx="730">
                  <c:v>68</c:v>
                </c:pt>
                <c:pt idx="731">
                  <c:v>55</c:v>
                </c:pt>
                <c:pt idx="732">
                  <c:v>87</c:v>
                </c:pt>
                <c:pt idx="733">
                  <c:v>55</c:v>
                </c:pt>
                <c:pt idx="734">
                  <c:v>53</c:v>
                </c:pt>
                <c:pt idx="735">
                  <c:v>67</c:v>
                </c:pt>
                <c:pt idx="736">
                  <c:v>92</c:v>
                </c:pt>
                <c:pt idx="737">
                  <c:v>53</c:v>
                </c:pt>
                <c:pt idx="738">
                  <c:v>81</c:v>
                </c:pt>
                <c:pt idx="739">
                  <c:v>61</c:v>
                </c:pt>
                <c:pt idx="740">
                  <c:v>80</c:v>
                </c:pt>
                <c:pt idx="741">
                  <c:v>37</c:v>
                </c:pt>
                <c:pt idx="742">
                  <c:v>81</c:v>
                </c:pt>
                <c:pt idx="743">
                  <c:v>59</c:v>
                </c:pt>
                <c:pt idx="744">
                  <c:v>55</c:v>
                </c:pt>
                <c:pt idx="745">
                  <c:v>72</c:v>
                </c:pt>
                <c:pt idx="746">
                  <c:v>69</c:v>
                </c:pt>
                <c:pt idx="747">
                  <c:v>69</c:v>
                </c:pt>
                <c:pt idx="748">
                  <c:v>50</c:v>
                </c:pt>
                <c:pt idx="749">
                  <c:v>87</c:v>
                </c:pt>
                <c:pt idx="750">
                  <c:v>71</c:v>
                </c:pt>
                <c:pt idx="751">
                  <c:v>68</c:v>
                </c:pt>
                <c:pt idx="752">
                  <c:v>79</c:v>
                </c:pt>
                <c:pt idx="753">
                  <c:v>77</c:v>
                </c:pt>
                <c:pt idx="754">
                  <c:v>58</c:v>
                </c:pt>
                <c:pt idx="755">
                  <c:v>84</c:v>
                </c:pt>
                <c:pt idx="756">
                  <c:v>55</c:v>
                </c:pt>
                <c:pt idx="757">
                  <c:v>70</c:v>
                </c:pt>
                <c:pt idx="758">
                  <c:v>52</c:v>
                </c:pt>
                <c:pt idx="759">
                  <c:v>69</c:v>
                </c:pt>
                <c:pt idx="760">
                  <c:v>53</c:v>
                </c:pt>
                <c:pt idx="761">
                  <c:v>48</c:v>
                </c:pt>
                <c:pt idx="762">
                  <c:v>78</c:v>
                </c:pt>
                <c:pt idx="763">
                  <c:v>62</c:v>
                </c:pt>
                <c:pt idx="764">
                  <c:v>60</c:v>
                </c:pt>
                <c:pt idx="765">
                  <c:v>74</c:v>
                </c:pt>
                <c:pt idx="766">
                  <c:v>58</c:v>
                </c:pt>
                <c:pt idx="767">
                  <c:v>76</c:v>
                </c:pt>
                <c:pt idx="768">
                  <c:v>68</c:v>
                </c:pt>
                <c:pt idx="769">
                  <c:v>58</c:v>
                </c:pt>
                <c:pt idx="770">
                  <c:v>52</c:v>
                </c:pt>
                <c:pt idx="771">
                  <c:v>75</c:v>
                </c:pt>
                <c:pt idx="772">
                  <c:v>52</c:v>
                </c:pt>
                <c:pt idx="773">
                  <c:v>62</c:v>
                </c:pt>
                <c:pt idx="774">
                  <c:v>66</c:v>
                </c:pt>
                <c:pt idx="775">
                  <c:v>49</c:v>
                </c:pt>
                <c:pt idx="776">
                  <c:v>66</c:v>
                </c:pt>
                <c:pt idx="777">
                  <c:v>35</c:v>
                </c:pt>
                <c:pt idx="778">
                  <c:v>72</c:v>
                </c:pt>
                <c:pt idx="779">
                  <c:v>94</c:v>
                </c:pt>
                <c:pt idx="780">
                  <c:v>46</c:v>
                </c:pt>
                <c:pt idx="781">
                  <c:v>77</c:v>
                </c:pt>
                <c:pt idx="782">
                  <c:v>76</c:v>
                </c:pt>
                <c:pt idx="783">
                  <c:v>52</c:v>
                </c:pt>
                <c:pt idx="784">
                  <c:v>91</c:v>
                </c:pt>
                <c:pt idx="785">
                  <c:v>32</c:v>
                </c:pt>
                <c:pt idx="786">
                  <c:v>72</c:v>
                </c:pt>
                <c:pt idx="787">
                  <c:v>19</c:v>
                </c:pt>
                <c:pt idx="788">
                  <c:v>68</c:v>
                </c:pt>
                <c:pt idx="789">
                  <c:v>52</c:v>
                </c:pt>
                <c:pt idx="790">
                  <c:v>48</c:v>
                </c:pt>
                <c:pt idx="791">
                  <c:v>60</c:v>
                </c:pt>
                <c:pt idx="792">
                  <c:v>66</c:v>
                </c:pt>
                <c:pt idx="793">
                  <c:v>89</c:v>
                </c:pt>
                <c:pt idx="794">
                  <c:v>42</c:v>
                </c:pt>
                <c:pt idx="795">
                  <c:v>57</c:v>
                </c:pt>
                <c:pt idx="796">
                  <c:v>70</c:v>
                </c:pt>
                <c:pt idx="797">
                  <c:v>70</c:v>
                </c:pt>
                <c:pt idx="798">
                  <c:v>69</c:v>
                </c:pt>
                <c:pt idx="799">
                  <c:v>52</c:v>
                </c:pt>
                <c:pt idx="800">
                  <c:v>67</c:v>
                </c:pt>
                <c:pt idx="801">
                  <c:v>76</c:v>
                </c:pt>
                <c:pt idx="802">
                  <c:v>87</c:v>
                </c:pt>
                <c:pt idx="803">
                  <c:v>82</c:v>
                </c:pt>
                <c:pt idx="804">
                  <c:v>73</c:v>
                </c:pt>
                <c:pt idx="805">
                  <c:v>75</c:v>
                </c:pt>
                <c:pt idx="806">
                  <c:v>64</c:v>
                </c:pt>
                <c:pt idx="807">
                  <c:v>41</c:v>
                </c:pt>
                <c:pt idx="808">
                  <c:v>90</c:v>
                </c:pt>
                <c:pt idx="809">
                  <c:v>59</c:v>
                </c:pt>
                <c:pt idx="810">
                  <c:v>51</c:v>
                </c:pt>
                <c:pt idx="811">
                  <c:v>45</c:v>
                </c:pt>
                <c:pt idx="812">
                  <c:v>54</c:v>
                </c:pt>
                <c:pt idx="813">
                  <c:v>87</c:v>
                </c:pt>
                <c:pt idx="814">
                  <c:v>72</c:v>
                </c:pt>
                <c:pt idx="815">
                  <c:v>94</c:v>
                </c:pt>
                <c:pt idx="816">
                  <c:v>45</c:v>
                </c:pt>
                <c:pt idx="817">
                  <c:v>61</c:v>
                </c:pt>
                <c:pt idx="818">
                  <c:v>60</c:v>
                </c:pt>
                <c:pt idx="819">
                  <c:v>77</c:v>
                </c:pt>
                <c:pt idx="820">
                  <c:v>85</c:v>
                </c:pt>
                <c:pt idx="821">
                  <c:v>78</c:v>
                </c:pt>
                <c:pt idx="822">
                  <c:v>49</c:v>
                </c:pt>
                <c:pt idx="823">
                  <c:v>71</c:v>
                </c:pt>
                <c:pt idx="824">
                  <c:v>48</c:v>
                </c:pt>
                <c:pt idx="825">
                  <c:v>62</c:v>
                </c:pt>
                <c:pt idx="826">
                  <c:v>56</c:v>
                </c:pt>
                <c:pt idx="827">
                  <c:v>65</c:v>
                </c:pt>
                <c:pt idx="828">
                  <c:v>69</c:v>
                </c:pt>
                <c:pt idx="829">
                  <c:v>68</c:v>
                </c:pt>
                <c:pt idx="830">
                  <c:v>61</c:v>
                </c:pt>
                <c:pt idx="831">
                  <c:v>74</c:v>
                </c:pt>
                <c:pt idx="832">
                  <c:v>64</c:v>
                </c:pt>
                <c:pt idx="833">
                  <c:v>77</c:v>
                </c:pt>
                <c:pt idx="834">
                  <c:v>58</c:v>
                </c:pt>
                <c:pt idx="835">
                  <c:v>60</c:v>
                </c:pt>
                <c:pt idx="836">
                  <c:v>73</c:v>
                </c:pt>
                <c:pt idx="837">
                  <c:v>75</c:v>
                </c:pt>
                <c:pt idx="838">
                  <c:v>58</c:v>
                </c:pt>
                <c:pt idx="839">
                  <c:v>66</c:v>
                </c:pt>
                <c:pt idx="840">
                  <c:v>39</c:v>
                </c:pt>
                <c:pt idx="841">
                  <c:v>64</c:v>
                </c:pt>
                <c:pt idx="842">
                  <c:v>23</c:v>
                </c:pt>
                <c:pt idx="843">
                  <c:v>74</c:v>
                </c:pt>
                <c:pt idx="844">
                  <c:v>40</c:v>
                </c:pt>
                <c:pt idx="845">
                  <c:v>90</c:v>
                </c:pt>
                <c:pt idx="846">
                  <c:v>91</c:v>
                </c:pt>
                <c:pt idx="847">
                  <c:v>64</c:v>
                </c:pt>
                <c:pt idx="848">
                  <c:v>59</c:v>
                </c:pt>
                <c:pt idx="849">
                  <c:v>80</c:v>
                </c:pt>
                <c:pt idx="850">
                  <c:v>71</c:v>
                </c:pt>
                <c:pt idx="851">
                  <c:v>61</c:v>
                </c:pt>
                <c:pt idx="852">
                  <c:v>87</c:v>
                </c:pt>
                <c:pt idx="853">
                  <c:v>82</c:v>
                </c:pt>
                <c:pt idx="854">
                  <c:v>62</c:v>
                </c:pt>
                <c:pt idx="855">
                  <c:v>97</c:v>
                </c:pt>
                <c:pt idx="856">
                  <c:v>75</c:v>
                </c:pt>
                <c:pt idx="857">
                  <c:v>65</c:v>
                </c:pt>
                <c:pt idx="858">
                  <c:v>52</c:v>
                </c:pt>
                <c:pt idx="859">
                  <c:v>87</c:v>
                </c:pt>
                <c:pt idx="860">
                  <c:v>53</c:v>
                </c:pt>
                <c:pt idx="861">
                  <c:v>81</c:v>
                </c:pt>
                <c:pt idx="862">
                  <c:v>39</c:v>
                </c:pt>
                <c:pt idx="863">
                  <c:v>71</c:v>
                </c:pt>
                <c:pt idx="864">
                  <c:v>97</c:v>
                </c:pt>
                <c:pt idx="865">
                  <c:v>82</c:v>
                </c:pt>
                <c:pt idx="866">
                  <c:v>59</c:v>
                </c:pt>
                <c:pt idx="867">
                  <c:v>61</c:v>
                </c:pt>
                <c:pt idx="868">
                  <c:v>78</c:v>
                </c:pt>
                <c:pt idx="869">
                  <c:v>49</c:v>
                </c:pt>
                <c:pt idx="870">
                  <c:v>59</c:v>
                </c:pt>
                <c:pt idx="871">
                  <c:v>70</c:v>
                </c:pt>
                <c:pt idx="872">
                  <c:v>82</c:v>
                </c:pt>
                <c:pt idx="873">
                  <c:v>90</c:v>
                </c:pt>
                <c:pt idx="874">
                  <c:v>43</c:v>
                </c:pt>
                <c:pt idx="875">
                  <c:v>80</c:v>
                </c:pt>
                <c:pt idx="876">
                  <c:v>81</c:v>
                </c:pt>
                <c:pt idx="877">
                  <c:v>57</c:v>
                </c:pt>
                <c:pt idx="878">
                  <c:v>59</c:v>
                </c:pt>
                <c:pt idx="879">
                  <c:v>64</c:v>
                </c:pt>
                <c:pt idx="880">
                  <c:v>63</c:v>
                </c:pt>
                <c:pt idx="881">
                  <c:v>71</c:v>
                </c:pt>
                <c:pt idx="882">
                  <c:v>64</c:v>
                </c:pt>
                <c:pt idx="883">
                  <c:v>55</c:v>
                </c:pt>
                <c:pt idx="884">
                  <c:v>51</c:v>
                </c:pt>
                <c:pt idx="885">
                  <c:v>62</c:v>
                </c:pt>
                <c:pt idx="886">
                  <c:v>93</c:v>
                </c:pt>
                <c:pt idx="887">
                  <c:v>54</c:v>
                </c:pt>
                <c:pt idx="888">
                  <c:v>69</c:v>
                </c:pt>
                <c:pt idx="889">
                  <c:v>44</c:v>
                </c:pt>
                <c:pt idx="890">
                  <c:v>86</c:v>
                </c:pt>
                <c:pt idx="891">
                  <c:v>85</c:v>
                </c:pt>
                <c:pt idx="892">
                  <c:v>50</c:v>
                </c:pt>
                <c:pt idx="893">
                  <c:v>88</c:v>
                </c:pt>
                <c:pt idx="894">
                  <c:v>59</c:v>
                </c:pt>
                <c:pt idx="895">
                  <c:v>32</c:v>
                </c:pt>
                <c:pt idx="896">
                  <c:v>36</c:v>
                </c:pt>
                <c:pt idx="897">
                  <c:v>63</c:v>
                </c:pt>
                <c:pt idx="898">
                  <c:v>67</c:v>
                </c:pt>
                <c:pt idx="899">
                  <c:v>65</c:v>
                </c:pt>
                <c:pt idx="900">
                  <c:v>85</c:v>
                </c:pt>
                <c:pt idx="901">
                  <c:v>73</c:v>
                </c:pt>
                <c:pt idx="902">
                  <c:v>34</c:v>
                </c:pt>
                <c:pt idx="903">
                  <c:v>93</c:v>
                </c:pt>
                <c:pt idx="904">
                  <c:v>67</c:v>
                </c:pt>
                <c:pt idx="905">
                  <c:v>88</c:v>
                </c:pt>
                <c:pt idx="906">
                  <c:v>57</c:v>
                </c:pt>
                <c:pt idx="907">
                  <c:v>79</c:v>
                </c:pt>
                <c:pt idx="908">
                  <c:v>67</c:v>
                </c:pt>
                <c:pt idx="909">
                  <c:v>70</c:v>
                </c:pt>
                <c:pt idx="910">
                  <c:v>50</c:v>
                </c:pt>
                <c:pt idx="911">
                  <c:v>69</c:v>
                </c:pt>
                <c:pt idx="912">
                  <c:v>52</c:v>
                </c:pt>
                <c:pt idx="913">
                  <c:v>47</c:v>
                </c:pt>
                <c:pt idx="914">
                  <c:v>46</c:v>
                </c:pt>
                <c:pt idx="915">
                  <c:v>68</c:v>
                </c:pt>
                <c:pt idx="916">
                  <c:v>100</c:v>
                </c:pt>
                <c:pt idx="917">
                  <c:v>44</c:v>
                </c:pt>
                <c:pt idx="918">
                  <c:v>57</c:v>
                </c:pt>
                <c:pt idx="919">
                  <c:v>91</c:v>
                </c:pt>
                <c:pt idx="920">
                  <c:v>69</c:v>
                </c:pt>
                <c:pt idx="921">
                  <c:v>35</c:v>
                </c:pt>
                <c:pt idx="922">
                  <c:v>72</c:v>
                </c:pt>
                <c:pt idx="923">
                  <c:v>54</c:v>
                </c:pt>
                <c:pt idx="924">
                  <c:v>74</c:v>
                </c:pt>
                <c:pt idx="925">
                  <c:v>74</c:v>
                </c:pt>
                <c:pt idx="926">
                  <c:v>64</c:v>
                </c:pt>
                <c:pt idx="927">
                  <c:v>65</c:v>
                </c:pt>
                <c:pt idx="928">
                  <c:v>46</c:v>
                </c:pt>
                <c:pt idx="929">
                  <c:v>48</c:v>
                </c:pt>
                <c:pt idx="930">
                  <c:v>67</c:v>
                </c:pt>
                <c:pt idx="931">
                  <c:v>62</c:v>
                </c:pt>
                <c:pt idx="932">
                  <c:v>61</c:v>
                </c:pt>
                <c:pt idx="933">
                  <c:v>70</c:v>
                </c:pt>
                <c:pt idx="934">
                  <c:v>98</c:v>
                </c:pt>
                <c:pt idx="935">
                  <c:v>70</c:v>
                </c:pt>
                <c:pt idx="936">
                  <c:v>67</c:v>
                </c:pt>
                <c:pt idx="937">
                  <c:v>57</c:v>
                </c:pt>
                <c:pt idx="938">
                  <c:v>85</c:v>
                </c:pt>
                <c:pt idx="939">
                  <c:v>77</c:v>
                </c:pt>
                <c:pt idx="940">
                  <c:v>72</c:v>
                </c:pt>
                <c:pt idx="941">
                  <c:v>78</c:v>
                </c:pt>
                <c:pt idx="942">
                  <c:v>81</c:v>
                </c:pt>
                <c:pt idx="943">
                  <c:v>61</c:v>
                </c:pt>
                <c:pt idx="944">
                  <c:v>58</c:v>
                </c:pt>
                <c:pt idx="945">
                  <c:v>54</c:v>
                </c:pt>
                <c:pt idx="946">
                  <c:v>82</c:v>
                </c:pt>
                <c:pt idx="947">
                  <c:v>49</c:v>
                </c:pt>
                <c:pt idx="948">
                  <c:v>49</c:v>
                </c:pt>
                <c:pt idx="949">
                  <c:v>57</c:v>
                </c:pt>
                <c:pt idx="950">
                  <c:v>94</c:v>
                </c:pt>
                <c:pt idx="951">
                  <c:v>75</c:v>
                </c:pt>
                <c:pt idx="952">
                  <c:v>74</c:v>
                </c:pt>
                <c:pt idx="953">
                  <c:v>58</c:v>
                </c:pt>
                <c:pt idx="954">
                  <c:v>62</c:v>
                </c:pt>
                <c:pt idx="955">
                  <c:v>72</c:v>
                </c:pt>
                <c:pt idx="956">
                  <c:v>84</c:v>
                </c:pt>
                <c:pt idx="957">
                  <c:v>92</c:v>
                </c:pt>
                <c:pt idx="958">
                  <c:v>45</c:v>
                </c:pt>
                <c:pt idx="959">
                  <c:v>75</c:v>
                </c:pt>
                <c:pt idx="960">
                  <c:v>56</c:v>
                </c:pt>
                <c:pt idx="961">
                  <c:v>48</c:v>
                </c:pt>
                <c:pt idx="962">
                  <c:v>100</c:v>
                </c:pt>
                <c:pt idx="963">
                  <c:v>65</c:v>
                </c:pt>
                <c:pt idx="964">
                  <c:v>72</c:v>
                </c:pt>
                <c:pt idx="965">
                  <c:v>62</c:v>
                </c:pt>
                <c:pt idx="966">
                  <c:v>66</c:v>
                </c:pt>
                <c:pt idx="967">
                  <c:v>63</c:v>
                </c:pt>
                <c:pt idx="968">
                  <c:v>68</c:v>
                </c:pt>
                <c:pt idx="969">
                  <c:v>75</c:v>
                </c:pt>
                <c:pt idx="970">
                  <c:v>89</c:v>
                </c:pt>
                <c:pt idx="971">
                  <c:v>78</c:v>
                </c:pt>
                <c:pt idx="972">
                  <c:v>53</c:v>
                </c:pt>
                <c:pt idx="973">
                  <c:v>49</c:v>
                </c:pt>
                <c:pt idx="974">
                  <c:v>54</c:v>
                </c:pt>
                <c:pt idx="975">
                  <c:v>64</c:v>
                </c:pt>
                <c:pt idx="976">
                  <c:v>60</c:v>
                </c:pt>
                <c:pt idx="977">
                  <c:v>62</c:v>
                </c:pt>
                <c:pt idx="978">
                  <c:v>55</c:v>
                </c:pt>
                <c:pt idx="979">
                  <c:v>91</c:v>
                </c:pt>
                <c:pt idx="980">
                  <c:v>8</c:v>
                </c:pt>
                <c:pt idx="981">
                  <c:v>81</c:v>
                </c:pt>
                <c:pt idx="982">
                  <c:v>79</c:v>
                </c:pt>
                <c:pt idx="983">
                  <c:v>78</c:v>
                </c:pt>
                <c:pt idx="984">
                  <c:v>74</c:v>
                </c:pt>
                <c:pt idx="985">
                  <c:v>57</c:v>
                </c:pt>
                <c:pt idx="986">
                  <c:v>40</c:v>
                </c:pt>
                <c:pt idx="987">
                  <c:v>81</c:v>
                </c:pt>
                <c:pt idx="988">
                  <c:v>44</c:v>
                </c:pt>
                <c:pt idx="989">
                  <c:v>67</c:v>
                </c:pt>
                <c:pt idx="990">
                  <c:v>86</c:v>
                </c:pt>
                <c:pt idx="991">
                  <c:v>65</c:v>
                </c:pt>
                <c:pt idx="992">
                  <c:v>55</c:v>
                </c:pt>
                <c:pt idx="993">
                  <c:v>62</c:v>
                </c:pt>
                <c:pt idx="994">
                  <c:v>63</c:v>
                </c:pt>
                <c:pt idx="995">
                  <c:v>88</c:v>
                </c:pt>
                <c:pt idx="996">
                  <c:v>62</c:v>
                </c:pt>
                <c:pt idx="997">
                  <c:v>59</c:v>
                </c:pt>
                <c:pt idx="998">
                  <c:v>68</c:v>
                </c:pt>
                <c:pt idx="999">
                  <c:v>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15-40E2-9D51-8779141E5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89096"/>
        <c:axId val="684190176"/>
      </c:scatterChart>
      <c:valAx>
        <c:axId val="684189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190176"/>
        <c:crosses val="autoZero"/>
        <c:crossBetween val="midCat"/>
      </c:valAx>
      <c:valAx>
        <c:axId val="68419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189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Math Score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Math Score</a:t>
          </a:r>
        </a:p>
      </cx:txPr>
    </cx:title>
    <cx:plotArea>
      <cx:plotAreaRegion>
        <cx:series layoutId="boxWhisker" uniqueId="{34A821F6-8ECA-41F0-A116-4C1B991F3827}">
          <cx:tx>
            <cx:txData>
              <cx:f>_xlchart.v1.0</cx:f>
              <cx:v>Math Score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Reading Scores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Reading Scores</a:t>
          </a:r>
        </a:p>
      </cx:txPr>
    </cx:title>
    <cx:plotArea>
      <cx:plotAreaRegion>
        <cx:series layoutId="boxWhisker" uniqueId="{8BC2B4A4-C82D-4B35-A1BE-AEF96E67CC9C}">
          <cx:tx>
            <cx:txData>
              <cx:f>_xlchart.v1.2</cx:f>
              <cx:v>Reading Score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1057275</xdr:colOff>
      <xdr:row>22</xdr:row>
      <xdr:rowOff>32079</xdr:rowOff>
    </xdr:from>
    <xdr:to>
      <xdr:col>17</xdr:col>
      <xdr:colOff>98843</xdr:colOff>
      <xdr:row>36</xdr:row>
      <xdr:rowOff>110076</xdr:rowOff>
    </xdr:to>
    <xdr:graphicFrame macro="">
      <xdr:nvGraphicFramePr>
        <xdr:cNvPr id="4" name="Chart 12">
          <a:extLst>
            <a:ext uri="{FF2B5EF4-FFF2-40B4-BE49-F238E27FC236}">
              <a16:creationId xmlns:a16="http://schemas.microsoft.com/office/drawing/2014/main" id="{6432D86C-878B-5CB8-0562-7D3B5253B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</xdr:colOff>
      <xdr:row>63</xdr:row>
      <xdr:rowOff>4762</xdr:rowOff>
    </xdr:from>
    <xdr:to>
      <xdr:col>17</xdr:col>
      <xdr:colOff>413169</xdr:colOff>
      <xdr:row>77</xdr:row>
      <xdr:rowOff>80961</xdr:rowOff>
    </xdr:to>
    <xdr:graphicFrame macro="">
      <xdr:nvGraphicFramePr>
        <xdr:cNvPr id="8" name="Chart 111">
          <a:extLst>
            <a:ext uri="{FF2B5EF4-FFF2-40B4-BE49-F238E27FC236}">
              <a16:creationId xmlns:a16="http://schemas.microsoft.com/office/drawing/2014/main" id="{9668F8DD-6D4D-126F-27FC-A008047CE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1088366</xdr:colOff>
      <xdr:row>41</xdr:row>
      <xdr:rowOff>176570</xdr:rowOff>
    </xdr:from>
    <xdr:to>
      <xdr:col>15</xdr:col>
      <xdr:colOff>816634</xdr:colOff>
      <xdr:row>56</xdr:row>
      <xdr:rowOff>64068</xdr:rowOff>
    </xdr:to>
    <xdr:graphicFrame macro="">
      <xdr:nvGraphicFramePr>
        <xdr:cNvPr id="6" name="Chart 21">
          <a:extLst>
            <a:ext uri="{FF2B5EF4-FFF2-40B4-BE49-F238E27FC236}">
              <a16:creationId xmlns:a16="http://schemas.microsoft.com/office/drawing/2014/main" id="{9E2D19C2-6C42-3E65-462D-EF1D35476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709612</xdr:colOff>
      <xdr:row>972</xdr:row>
      <xdr:rowOff>4762</xdr:rowOff>
    </xdr:from>
    <xdr:to>
      <xdr:col>15</xdr:col>
      <xdr:colOff>528637</xdr:colOff>
      <xdr:row>986</xdr:row>
      <xdr:rowOff>80962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A3ED1791-EC3C-A764-2E28-DDD653E24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13</xdr:row>
      <xdr:rowOff>0</xdr:rowOff>
    </xdr:from>
    <xdr:to>
      <xdr:col>13</xdr:col>
      <xdr:colOff>600075</xdr:colOff>
      <xdr:row>27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62E6D42-D5B8-744E-5B00-56EC810420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9525</xdr:rowOff>
    </xdr:from>
    <xdr:to>
      <xdr:col>14</xdr:col>
      <xdr:colOff>0</xdr:colOff>
      <xdr:row>26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3C8DDB7-3DD6-304A-AF3A-9E8760ABEB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 Services" refreshedDate="45978.840380092595" backgroundQuery="1" createdVersion="8" refreshedVersion="8" minRefreshableVersion="3" recordCount="0" supportSubquery="1" supportAdvancedDrill="1" xr:uid="{344644F4-5D1E-4FB3-9E01-04B6C1A02083}">
  <cacheSource type="external" connectionId="1"/>
  <cacheFields count="8">
    <cacheField name="[Range].[race/ethnicity].[race/ethnicity]" caption="race/ethnicity" numFmtId="0" hierarchy="1" level="1">
      <sharedItems count="5">
        <s v="group A"/>
        <s v="group B"/>
        <s v="group C"/>
        <s v="group D"/>
        <s v="group E"/>
      </sharedItems>
    </cacheField>
    <cacheField name="[Range].[gender].[gender]" caption="gender" numFmtId="0" level="1">
      <sharedItems count="2">
        <s v="female"/>
        <s v="male"/>
      </sharedItems>
    </cacheField>
    <cacheField name="[Range].[parental level of education].[parental level of education]" caption="parental level of education" numFmtId="0" hierarchy="2" level="1">
      <sharedItems containsSemiMixedTypes="0" containsNonDate="0" containsString="0"/>
    </cacheField>
    <cacheField name="[Range].[lunch].[lunch]" caption="lunch" numFmtId="0" hierarchy="3" level="1">
      <sharedItems containsSemiMixedTypes="0" containsNonDate="0" containsString="0"/>
    </cacheField>
    <cacheField name="[Range].[test preparation course].[test preparation course]" caption="test preparation course" numFmtId="0" hierarchy="4" level="1">
      <sharedItems containsSemiMixedTypes="0" containsNonDate="0" containsString="0"/>
    </cacheField>
    <cacheField name="[Measures].[Sum of math score]" caption="Sum of math score" numFmtId="0" hierarchy="10" level="32767"/>
    <cacheField name="[Measures].[Sum of reading score]" caption="Sum of reading score" numFmtId="0" hierarchy="11" level="32767"/>
    <cacheField name="[Measures].[Sum of writing score]" caption="Sum of writing score" numFmtId="0" hierarchy="12" level="32767"/>
  </cacheFields>
  <cacheHierarchies count="13"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1"/>
      </fieldsUsage>
    </cacheHierarchy>
    <cacheHierarchy uniqueName="[Range].[race/ethnicity]" caption="race/ethnicity" attribute="1" defaultMemberUniqueName="[Range].[race/ethnicity].[All]" allUniqueName="[Range].[race/ethnicit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arental level of education]" caption="parental level of education" attribute="1" defaultMemberUniqueName="[Range].[parental level of education].[All]" allUniqueName="[Range].[parental level of education].[All]" dimensionUniqueName="[Range]" displayFolder="" count="2" memberValueDatatype="130" unbalanced="0">
      <fieldsUsage count="2">
        <fieldUsage x="-1"/>
        <fieldUsage x="2"/>
      </fieldsUsage>
    </cacheHierarchy>
    <cacheHierarchy uniqueName="[Range].[lunch]" caption="lunch" attribute="1" defaultMemberUniqueName="[Range].[lunch].[All]" allUniqueName="[Range].[lunch].[All]" dimensionUniqueName="[Range]" displayFolder="" count="2" memberValueDatatype="130" unbalanced="0">
      <fieldsUsage count="2">
        <fieldUsage x="-1"/>
        <fieldUsage x="3"/>
      </fieldsUsage>
    </cacheHierarchy>
    <cacheHierarchy uniqueName="[Range].[test preparation course]" caption="test preparation course" attribute="1" defaultMemberUniqueName="[Range].[test preparation course].[All]" allUniqueName="[Range].[test preparation course].[All]" dimensionUniqueName="[Range]" displayFolder="" count="2" memberValueDatatype="130" unbalanced="0">
      <fieldsUsage count="2">
        <fieldUsage x="-1"/>
        <fieldUsage x="4"/>
      </fieldsUsage>
    </cacheHierarchy>
    <cacheHierarchy uniqueName="[Range].[math score]" caption="math score" attribute="1" defaultMemberUniqueName="[Range].[math score].[All]" allUniqueName="[Range].[math score].[All]" dimensionUniqueName="[Range]" displayFolder="" count="0" memberValueDatatype="20" unbalanced="0"/>
    <cacheHierarchy uniqueName="[Range].[reading score]" caption="reading score" attribute="1" defaultMemberUniqueName="[Range].[reading score].[All]" allUniqueName="[Range].[reading score].[All]" dimensionUniqueName="[Range]" displayFolder="" count="0" memberValueDatatype="20" unbalanced="0"/>
    <cacheHierarchy uniqueName="[Range].[writing score]" caption="writing score" attribute="1" defaultMemberUniqueName="[Range].[writing score].[All]" allUniqueName="[Range].[writing score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math score]" caption="Sum of math score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ading score]" caption="Sum of reading score" measure="1" displayFolder="" measureGroup="Rang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riting score]" caption="Sum of writing score" measure="1" displayFolder="" measureGroup="Range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ti" refreshedDate="45996.886996527777" createdVersion="8" refreshedVersion="8" minRefreshableVersion="3" recordCount="999" xr:uid="{3FFBCE47-B82D-45B7-8E15-3D414ED4E088}">
  <cacheSource type="worksheet">
    <worksheetSource ref="A1:J1000" sheet="Data Set"/>
  </cacheSource>
  <cacheFields count="10">
    <cacheField name="gender" numFmtId="0">
      <sharedItems/>
    </cacheField>
    <cacheField name="race/ethnicity" numFmtId="0">
      <sharedItems/>
    </cacheField>
    <cacheField name="parental level of education" numFmtId="0">
      <sharedItems count="6">
        <s v="bachelor's degree"/>
        <s v="some college"/>
        <s v="master's degree"/>
        <s v="associate's degree"/>
        <s v="high school"/>
        <s v="some high school"/>
      </sharedItems>
    </cacheField>
    <cacheField name="lunch" numFmtId="0">
      <sharedItems count="2">
        <s v="standard"/>
        <s v="free/reduced"/>
      </sharedItems>
    </cacheField>
    <cacheField name="test preparation course" numFmtId="0">
      <sharedItems/>
    </cacheField>
    <cacheField name="StudyTimeWeekly" numFmtId="0">
      <sharedItems containsMixedTypes="1" containsNumber="1" minValue="8.0308810000000001E-3" maxValue="17.79374825"/>
    </cacheField>
    <cacheField name="Absences" numFmtId="0">
      <sharedItems containsSemiMixedTypes="0" containsString="0" containsNumber="1" containsInteger="1" minValue="0" maxValue="29"/>
    </cacheField>
    <cacheField name="math score" numFmtId="0">
      <sharedItems containsSemiMixedTypes="0" containsString="0" containsNumber="1" containsInteger="1" minValue="0" maxValue="100"/>
    </cacheField>
    <cacheField name="reading score" numFmtId="0">
      <sharedItems containsSemiMixedTypes="0" containsString="0" containsNumber="1" containsInteger="1" minValue="17" maxValue="100"/>
    </cacheField>
    <cacheField name="writing score" numFmtId="0">
      <sharedItems containsSemiMixedTypes="0" containsString="0" containsNumber="1" containsInteger="1" minValue="1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meron Li" refreshedDate="45996.888789699071" createdVersion="8" refreshedVersion="8" minRefreshableVersion="3" recordCount="991" xr:uid="{1AF87CE3-3AAC-413B-89A0-0EFCAE99AA8E}">
  <cacheSource type="worksheet">
    <worksheetSource ref="A10:A1001" sheet="Data Set"/>
  </cacheSource>
  <cacheFields count="1">
    <cacheField name="male" numFmtId="0">
      <sharedItems count="2">
        <s v="female"/>
        <s v="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s v="female"/>
    <s v="group B"/>
    <x v="0"/>
    <x v="0"/>
    <s v="none"/>
    <s v="11.36638302155851"/>
    <n v="26"/>
    <n v="72"/>
    <n v="72"/>
    <n v="74"/>
  </r>
  <r>
    <s v="female"/>
    <s v="group C"/>
    <x v="1"/>
    <x v="0"/>
    <s v="completed"/>
    <s v="3.761171329581512"/>
    <n v="13"/>
    <n v="69"/>
    <n v="90"/>
    <n v="88"/>
  </r>
  <r>
    <s v="female"/>
    <s v="group B"/>
    <x v="2"/>
    <x v="0"/>
    <s v="none"/>
    <s v="5.370001523949908"/>
    <n v="22"/>
    <n v="90"/>
    <n v="95"/>
    <n v="93"/>
  </r>
  <r>
    <s v="male"/>
    <s v="group A"/>
    <x v="3"/>
    <x v="1"/>
    <s v="none"/>
    <s v="5.497913165141755"/>
    <n v="21"/>
    <n v="47"/>
    <n v="57"/>
    <n v="44"/>
  </r>
  <r>
    <s v="male"/>
    <s v="group C"/>
    <x v="1"/>
    <x v="0"/>
    <s v="none"/>
    <s v="7.859015299827061"/>
    <n v="19"/>
    <n v="76"/>
    <n v="78"/>
    <n v="75"/>
  </r>
  <r>
    <s v="female"/>
    <s v="group B"/>
    <x v="3"/>
    <x v="0"/>
    <s v="none"/>
    <s v="13.896414597434415"/>
    <n v="11"/>
    <n v="71"/>
    <n v="83"/>
    <n v="78"/>
  </r>
  <r>
    <s v="female"/>
    <s v="group B"/>
    <x v="1"/>
    <x v="0"/>
    <s v="completed"/>
    <s v="2.912574770509029"/>
    <n v="25"/>
    <n v="88"/>
    <n v="95"/>
    <n v="92"/>
  </r>
  <r>
    <s v="male"/>
    <s v="group B"/>
    <x v="1"/>
    <x v="1"/>
    <s v="none"/>
    <s v="2.4692714746147204"/>
    <n v="19"/>
    <n v="40"/>
    <n v="43"/>
    <n v="39"/>
  </r>
  <r>
    <s v="male"/>
    <s v="group D"/>
    <x v="4"/>
    <x v="1"/>
    <s v="completed"/>
    <s v="17.875483755238896"/>
    <n v="21"/>
    <n v="64"/>
    <n v="64"/>
    <n v="67"/>
  </r>
  <r>
    <s v="female"/>
    <s v="group B"/>
    <x v="4"/>
    <x v="1"/>
    <s v="none"/>
    <s v="17.248682602823138"/>
    <n v="26"/>
    <n v="38"/>
    <n v="60"/>
    <n v="50"/>
  </r>
  <r>
    <s v="male"/>
    <s v="group C"/>
    <x v="3"/>
    <x v="0"/>
    <s v="none"/>
    <s v="18.487086923876006"/>
    <n v="0"/>
    <n v="58"/>
    <n v="54"/>
    <n v="52"/>
  </r>
  <r>
    <s v="male"/>
    <s v="group D"/>
    <x v="3"/>
    <x v="0"/>
    <s v="none"/>
    <s v="4.999179624789911"/>
    <n v="26"/>
    <n v="40"/>
    <n v="52"/>
    <n v="43"/>
  </r>
  <r>
    <s v="female"/>
    <s v="group B"/>
    <x v="4"/>
    <x v="0"/>
    <s v="none"/>
    <s v="13.239396789012684"/>
    <n v="14"/>
    <n v="65"/>
    <n v="81"/>
    <n v="73"/>
  </r>
  <r>
    <s v="male"/>
    <s v="group A"/>
    <x v="1"/>
    <x v="0"/>
    <s v="completed"/>
    <s v="5.7251807076636645"/>
    <n v="1"/>
    <n v="78"/>
    <n v="72"/>
    <n v="70"/>
  </r>
  <r>
    <s v="female"/>
    <s v="group A"/>
    <x v="2"/>
    <x v="0"/>
    <s v="none"/>
    <s v="9.896569132428404"/>
    <n v="27"/>
    <n v="50"/>
    <n v="53"/>
    <n v="58"/>
  </r>
  <r>
    <s v="female"/>
    <s v="group C"/>
    <x v="5"/>
    <x v="0"/>
    <s v="none"/>
    <s v="10.779617489002412"/>
    <n v="1"/>
    <n v="69"/>
    <n v="75"/>
    <n v="78"/>
  </r>
  <r>
    <s v="male"/>
    <s v="group C"/>
    <x v="4"/>
    <x v="0"/>
    <s v="none"/>
    <s v="6.023180395708907"/>
    <n v="17"/>
    <n v="88"/>
    <n v="89"/>
    <n v="86"/>
  </r>
  <r>
    <s v="female"/>
    <s v="group B"/>
    <x v="5"/>
    <x v="1"/>
    <s v="none"/>
    <s v="8.412604737576387"/>
    <n v="16"/>
    <n v="18"/>
    <n v="32"/>
    <n v="28"/>
  </r>
  <r>
    <s v="male"/>
    <s v="group C"/>
    <x v="2"/>
    <x v="1"/>
    <s v="completed"/>
    <s v="17.700306490945174"/>
    <n v="16"/>
    <n v="46"/>
    <n v="42"/>
    <n v="46"/>
  </r>
  <r>
    <s v="female"/>
    <s v="group C"/>
    <x v="3"/>
    <x v="1"/>
    <s v="none"/>
    <s v="14.089872728233694"/>
    <n v="3"/>
    <n v="54"/>
    <n v="58"/>
    <n v="61"/>
  </r>
  <r>
    <s v="male"/>
    <s v="group D"/>
    <x v="4"/>
    <x v="0"/>
    <s v="none"/>
    <s v="8.269315334203203"/>
    <n v="29"/>
    <n v="66"/>
    <n v="69"/>
    <n v="63"/>
  </r>
  <r>
    <s v="female"/>
    <s v="group B"/>
    <x v="1"/>
    <x v="1"/>
    <s v="completed"/>
    <s v="11.695136166746094"/>
    <n v="15"/>
    <n v="65"/>
    <n v="75"/>
    <n v="70"/>
  </r>
  <r>
    <s v="male"/>
    <s v="group D"/>
    <x v="1"/>
    <x v="0"/>
    <s v="none"/>
    <s v="12.941403325177479"/>
    <n v="9"/>
    <n v="44"/>
    <n v="54"/>
    <n v="53"/>
  </r>
  <r>
    <s v="female"/>
    <s v="group C"/>
    <x v="5"/>
    <x v="0"/>
    <s v="none"/>
    <s v="14.63410545446303"/>
    <n v="9"/>
    <n v="69"/>
    <n v="73"/>
    <n v="73"/>
  </r>
  <r>
    <s v="male"/>
    <s v="group D"/>
    <x v="0"/>
    <x v="1"/>
    <s v="completed"/>
    <s v="8.045893561526373"/>
    <n v="17"/>
    <n v="74"/>
    <n v="71"/>
    <n v="80"/>
  </r>
  <r>
    <s v="male"/>
    <s v="group A"/>
    <x v="2"/>
    <x v="1"/>
    <s v="none"/>
    <s v="0.1069797738844569"/>
    <n v="5"/>
    <n v="73"/>
    <n v="74"/>
    <n v="72"/>
  </r>
  <r>
    <s v="male"/>
    <s v="group B"/>
    <x v="1"/>
    <x v="0"/>
    <s v="none"/>
    <s v="8.528121129839457"/>
    <n v="27"/>
    <n v="69"/>
    <n v="54"/>
    <n v="55"/>
  </r>
  <r>
    <s v="female"/>
    <s v="group C"/>
    <x v="0"/>
    <x v="0"/>
    <s v="none"/>
    <s v="6.4107233361299105"/>
    <n v="2"/>
    <n v="67"/>
    <n v="69"/>
    <n v="75"/>
  </r>
  <r>
    <s v="male"/>
    <s v="group C"/>
    <x v="4"/>
    <x v="0"/>
    <s v="none"/>
    <s v="13.591036731453679"/>
    <n v="3"/>
    <n v="70"/>
    <n v="70"/>
    <n v="65"/>
  </r>
  <r>
    <s v="female"/>
    <s v="group D"/>
    <x v="2"/>
    <x v="0"/>
    <s v="none"/>
    <s v="16.12193495921495"/>
    <n v="29"/>
    <n v="62"/>
    <n v="70"/>
    <n v="75"/>
  </r>
  <r>
    <s v="female"/>
    <s v="group D"/>
    <x v="1"/>
    <x v="0"/>
    <s v="none"/>
    <s v="8.368989943509161"/>
    <n v="1"/>
    <n v="69"/>
    <n v="74"/>
    <n v="74"/>
  </r>
  <r>
    <s v="female"/>
    <s v="group B"/>
    <x v="1"/>
    <x v="0"/>
    <s v="none"/>
    <s v="11.41329157961578"/>
    <n v="0"/>
    <n v="63"/>
    <n v="65"/>
    <n v="61"/>
  </r>
  <r>
    <s v="female"/>
    <s v="group E"/>
    <x v="2"/>
    <x v="1"/>
    <s v="none"/>
    <s v="7.005447413386552"/>
    <n v="4"/>
    <n v="56"/>
    <n v="72"/>
    <n v="65"/>
  </r>
  <r>
    <s v="male"/>
    <s v="group D"/>
    <x v="1"/>
    <x v="0"/>
    <s v="none"/>
    <s v="6.195306282858068"/>
    <n v="7"/>
    <n v="40"/>
    <n v="42"/>
    <n v="38"/>
  </r>
  <r>
    <s v="male"/>
    <s v="group E"/>
    <x v="1"/>
    <x v="0"/>
    <s v="none"/>
    <s v="5.564343741376443"/>
    <n v="19"/>
    <n v="97"/>
    <n v="87"/>
    <n v="82"/>
  </r>
  <r>
    <s v="male"/>
    <s v="group E"/>
    <x v="3"/>
    <x v="0"/>
    <s v="completed"/>
    <s v="11.448154519355302"/>
    <n v="19"/>
    <n v="81"/>
    <n v="81"/>
    <n v="79"/>
  </r>
  <r>
    <s v="female"/>
    <s v="group D"/>
    <x v="3"/>
    <x v="0"/>
    <s v="none"/>
    <s v="19.916047355598373"/>
    <n v="1"/>
    <n v="74"/>
    <n v="81"/>
    <n v="83"/>
  </r>
  <r>
    <s v="female"/>
    <s v="group D"/>
    <x v="5"/>
    <x v="1"/>
    <s v="none"/>
    <s v="18.981592063656336"/>
    <n v="20"/>
    <n v="50"/>
    <n v="64"/>
    <n v="59"/>
  </r>
  <r>
    <s v="female"/>
    <s v="group D"/>
    <x v="3"/>
    <x v="1"/>
    <s v="completed"/>
    <s v="10.403614731335193"/>
    <n v="20"/>
    <n v="75"/>
    <n v="90"/>
    <n v="88"/>
  </r>
  <r>
    <s v="male"/>
    <s v="group B"/>
    <x v="3"/>
    <x v="1"/>
    <s v="none"/>
    <s v="17.13459893011795"/>
    <n v="22"/>
    <n v="57"/>
    <n v="56"/>
    <n v="57"/>
  </r>
  <r>
    <s v="male"/>
    <s v="group C"/>
    <x v="3"/>
    <x v="1"/>
    <s v="none"/>
    <s v="2.3951993286439444"/>
    <n v="23"/>
    <n v="55"/>
    <n v="61"/>
    <n v="54"/>
  </r>
  <r>
    <s v="female"/>
    <s v="group C"/>
    <x v="3"/>
    <x v="0"/>
    <s v="none"/>
    <s v="10.281613912385463"/>
    <n v="10"/>
    <n v="58"/>
    <n v="73"/>
    <n v="68"/>
  </r>
  <r>
    <s v="female"/>
    <s v="group B"/>
    <x v="3"/>
    <x v="0"/>
    <s v="none"/>
    <s v="0.6398892028864944"/>
    <n v="25"/>
    <n v="53"/>
    <n v="58"/>
    <n v="65"/>
  </r>
  <r>
    <s v="male"/>
    <s v="group B"/>
    <x v="1"/>
    <x v="1"/>
    <s v="completed"/>
    <s v="4.061411858401243"/>
    <n v="26"/>
    <n v="59"/>
    <n v="65"/>
    <n v="66"/>
  </r>
  <r>
    <s v="female"/>
    <s v="group E"/>
    <x v="3"/>
    <x v="1"/>
    <s v="none"/>
    <s v="18.484368696853203"/>
    <n v="11"/>
    <n v="50"/>
    <n v="56"/>
    <n v="54"/>
  </r>
  <r>
    <s v="male"/>
    <s v="group B"/>
    <x v="3"/>
    <x v="0"/>
    <s v="none"/>
    <s v="15.078753688828481"/>
    <n v="24"/>
    <n v="65"/>
    <n v="54"/>
    <n v="57"/>
  </r>
  <r>
    <s v="female"/>
    <s v="group A"/>
    <x v="3"/>
    <x v="0"/>
    <s v="completed"/>
    <s v="18.921512361376628"/>
    <n v="1"/>
    <n v="55"/>
    <n v="65"/>
    <n v="62"/>
  </r>
  <r>
    <s v="female"/>
    <s v="group C"/>
    <x v="4"/>
    <x v="0"/>
    <s v="none"/>
    <s v="5.125847507384352"/>
    <n v="12"/>
    <n v="66"/>
    <n v="71"/>
    <n v="76"/>
  </r>
  <r>
    <s v="female"/>
    <s v="group D"/>
    <x v="3"/>
    <x v="1"/>
    <s v="completed"/>
    <s v="13.909769183553006"/>
    <n v="25"/>
    <n v="57"/>
    <n v="74"/>
    <n v="76"/>
  </r>
  <r>
    <s v="male"/>
    <s v="group C"/>
    <x v="4"/>
    <x v="0"/>
    <s v="completed"/>
    <s v="12.099000262954085"/>
    <n v="19"/>
    <n v="82"/>
    <n v="84"/>
    <n v="82"/>
  </r>
  <r>
    <s v="male"/>
    <s v="group E"/>
    <x v="1"/>
    <x v="0"/>
    <s v="none"/>
    <s v="7.019512478521827"/>
    <n v="9"/>
    <n v="53"/>
    <n v="55"/>
    <n v="48"/>
  </r>
  <r>
    <s v="male"/>
    <s v="group E"/>
    <x v="3"/>
    <x v="1"/>
    <s v="completed"/>
    <n v="3.758071776"/>
    <n v="12"/>
    <n v="77"/>
    <n v="69"/>
    <n v="68"/>
  </r>
  <r>
    <s v="male"/>
    <s v="group C"/>
    <x v="1"/>
    <x v="0"/>
    <s v="none"/>
    <s v="16.96835452861022"/>
    <n v="1"/>
    <n v="53"/>
    <n v="44"/>
    <n v="42"/>
  </r>
  <r>
    <s v="male"/>
    <s v="group D"/>
    <x v="4"/>
    <x v="0"/>
    <s v="none"/>
    <s v="14.417864381041953"/>
    <n v="14"/>
    <n v="88"/>
    <n v="78"/>
    <n v="75"/>
  </r>
  <r>
    <s v="female"/>
    <s v="group C"/>
    <x v="5"/>
    <x v="1"/>
    <s v="completed"/>
    <s v="12.13439159564464"/>
    <n v="19"/>
    <n v="71"/>
    <n v="84"/>
    <n v="87"/>
  </r>
  <r>
    <s v="female"/>
    <s v="group C"/>
    <x v="4"/>
    <x v="1"/>
    <s v="none"/>
    <s v="4.070710449636097"/>
    <n v="22"/>
    <n v="33"/>
    <n v="41"/>
    <n v="43"/>
  </r>
  <r>
    <s v="female"/>
    <s v="group E"/>
    <x v="3"/>
    <x v="0"/>
    <s v="completed"/>
    <s v="18.899695711116863"/>
    <n v="3"/>
    <n v="82"/>
    <n v="85"/>
    <n v="86"/>
  </r>
  <r>
    <s v="male"/>
    <s v="group D"/>
    <x v="3"/>
    <x v="0"/>
    <s v="none"/>
    <s v="14.173534399310139"/>
    <n v="26"/>
    <n v="52"/>
    <n v="55"/>
    <n v="49"/>
  </r>
  <r>
    <s v="male"/>
    <s v="group D"/>
    <x v="1"/>
    <x v="0"/>
    <s v="completed"/>
    <s v="17.048777712837463"/>
    <n v="0"/>
    <n v="58"/>
    <n v="59"/>
    <n v="58"/>
  </r>
  <r>
    <s v="female"/>
    <s v="group C"/>
    <x v="5"/>
    <x v="1"/>
    <s v="none"/>
    <s v="6.659004939247466"/>
    <n v="3"/>
    <n v="0"/>
    <n v="17"/>
    <n v="10"/>
  </r>
  <r>
    <s v="male"/>
    <s v="group E"/>
    <x v="0"/>
    <x v="1"/>
    <s v="completed"/>
    <s v="17.57061498414312"/>
    <n v="25"/>
    <n v="79"/>
    <n v="74"/>
    <n v="72"/>
  </r>
  <r>
    <s v="male"/>
    <s v="group A"/>
    <x v="5"/>
    <x v="1"/>
    <s v="none"/>
    <s v="5.252672247321472"/>
    <n v="2"/>
    <n v="39"/>
    <n v="39"/>
    <n v="34"/>
  </r>
  <r>
    <s v="male"/>
    <s v="group A"/>
    <x v="3"/>
    <x v="1"/>
    <s v="none"/>
    <s v="13.570946828363212"/>
    <n v="3"/>
    <n v="62"/>
    <n v="61"/>
    <n v="55"/>
  </r>
  <r>
    <s v="female"/>
    <s v="group C"/>
    <x v="3"/>
    <x v="0"/>
    <s v="none"/>
    <s v="0.2355975257328402"/>
    <n v="26"/>
    <n v="69"/>
    <n v="80"/>
    <n v="71"/>
  </r>
  <r>
    <s v="female"/>
    <s v="group D"/>
    <x v="5"/>
    <x v="0"/>
    <s v="none"/>
    <s v="13.084715598906358"/>
    <n v="0"/>
    <n v="59"/>
    <n v="58"/>
    <n v="59"/>
  </r>
  <r>
    <s v="male"/>
    <s v="group B"/>
    <x v="5"/>
    <x v="0"/>
    <s v="none"/>
    <s v="17.471111524541776"/>
    <n v="7"/>
    <n v="67"/>
    <n v="64"/>
    <n v="61"/>
  </r>
  <r>
    <s v="male"/>
    <s v="group D"/>
    <x v="5"/>
    <x v="1"/>
    <s v="none"/>
    <s v="2.8173720790172263"/>
    <n v="6"/>
    <n v="45"/>
    <n v="37"/>
    <n v="37"/>
  </r>
  <r>
    <s v="female"/>
    <s v="group C"/>
    <x v="1"/>
    <x v="0"/>
    <s v="none"/>
    <s v="16.738556656892474"/>
    <n v="7"/>
    <n v="60"/>
    <n v="72"/>
    <n v="74"/>
  </r>
  <r>
    <s v="male"/>
    <s v="group B"/>
    <x v="3"/>
    <x v="1"/>
    <s v="none"/>
    <n v="4.2105697690000001"/>
    <n v="26"/>
    <n v="61"/>
    <n v="58"/>
    <n v="56"/>
  </r>
  <r>
    <s v="female"/>
    <s v="group C"/>
    <x v="3"/>
    <x v="0"/>
    <s v="none"/>
    <s v="14.28306292784348"/>
    <n v="13"/>
    <n v="39"/>
    <n v="64"/>
    <n v="57"/>
  </r>
  <r>
    <s v="female"/>
    <s v="group D"/>
    <x v="1"/>
    <x v="1"/>
    <s v="completed"/>
    <s v="14.714359735562198"/>
    <n v="22"/>
    <n v="58"/>
    <n v="63"/>
    <n v="73"/>
  </r>
  <r>
    <s v="male"/>
    <s v="group D"/>
    <x v="1"/>
    <x v="0"/>
    <s v="completed"/>
    <s v="0.8440093716259689"/>
    <n v="27"/>
    <n v="63"/>
    <n v="55"/>
    <n v="63"/>
  </r>
  <r>
    <s v="female"/>
    <s v="group A"/>
    <x v="3"/>
    <x v="1"/>
    <s v="none"/>
    <s v="7.343392513900453"/>
    <n v="26"/>
    <n v="41"/>
    <n v="51"/>
    <n v="48"/>
  </r>
  <r>
    <s v="male"/>
    <s v="group C"/>
    <x v="5"/>
    <x v="1"/>
    <s v="none"/>
    <s v="15.234854129390317"/>
    <n v="17"/>
    <n v="61"/>
    <n v="57"/>
    <n v="56"/>
  </r>
  <r>
    <s v="male"/>
    <s v="group C"/>
    <x v="5"/>
    <x v="0"/>
    <s v="none"/>
    <s v="15.805198078833875"/>
    <n v="26"/>
    <n v="49"/>
    <n v="49"/>
    <n v="41"/>
  </r>
  <r>
    <s v="male"/>
    <s v="group B"/>
    <x v="3"/>
    <x v="1"/>
    <s v="none"/>
    <s v="17.472676452694003"/>
    <n v="0"/>
    <n v="44"/>
    <n v="41"/>
    <n v="38"/>
  </r>
  <r>
    <s v="male"/>
    <s v="group E"/>
    <x v="5"/>
    <x v="0"/>
    <s v="none"/>
    <s v="18.168750957445297"/>
    <n v="15"/>
    <n v="30"/>
    <n v="26"/>
    <n v="22"/>
  </r>
  <r>
    <s v="male"/>
    <s v="group A"/>
    <x v="0"/>
    <x v="0"/>
    <s v="completed"/>
    <s v="6.738438261534911"/>
    <n v="13"/>
    <n v="80"/>
    <n v="78"/>
    <n v="81"/>
  </r>
  <r>
    <s v="female"/>
    <s v="group D"/>
    <x v="5"/>
    <x v="0"/>
    <s v="completed"/>
    <s v="8.483701114919524"/>
    <n v="14"/>
    <n v="61"/>
    <n v="74"/>
    <n v="72"/>
  </r>
  <r>
    <s v="female"/>
    <s v="group E"/>
    <x v="2"/>
    <x v="0"/>
    <s v="none"/>
    <s v="17.693499699066997"/>
    <n v="2"/>
    <n v="62"/>
    <n v="68"/>
    <n v="68"/>
  </r>
  <r>
    <s v="female"/>
    <s v="group B"/>
    <x v="3"/>
    <x v="0"/>
    <s v="none"/>
    <s v="10.41310707468223"/>
    <n v="17"/>
    <n v="47"/>
    <n v="49"/>
    <n v="50"/>
  </r>
  <r>
    <s v="male"/>
    <s v="group B"/>
    <x v="4"/>
    <x v="1"/>
    <s v="none"/>
    <n v="14.40645833"/>
    <n v="11"/>
    <n v="49"/>
    <n v="45"/>
    <n v="45"/>
  </r>
  <r>
    <s v="male"/>
    <s v="group A"/>
    <x v="1"/>
    <x v="1"/>
    <s v="completed"/>
    <s v="4.750322411881203"/>
    <n v="16"/>
    <n v="50"/>
    <n v="47"/>
    <n v="54"/>
  </r>
  <r>
    <s v="male"/>
    <s v="group E"/>
    <x v="3"/>
    <x v="0"/>
    <s v="none"/>
    <s v="11.557541628818182"/>
    <n v="1"/>
    <n v="72"/>
    <n v="64"/>
    <n v="63"/>
  </r>
  <r>
    <s v="male"/>
    <s v="group D"/>
    <x v="4"/>
    <x v="1"/>
    <s v="none"/>
    <s v="6.463881306486723"/>
    <n v="1"/>
    <n v="42"/>
    <n v="39"/>
    <n v="34"/>
  </r>
  <r>
    <s v="female"/>
    <s v="group C"/>
    <x v="1"/>
    <x v="0"/>
    <s v="none"/>
    <s v="4.402584883950533"/>
    <n v="20"/>
    <n v="73"/>
    <n v="80"/>
    <n v="82"/>
  </r>
  <r>
    <s v="female"/>
    <s v="group C"/>
    <x v="1"/>
    <x v="1"/>
    <s v="none"/>
    <s v="5.213327651242034"/>
    <n v="1"/>
    <n v="76"/>
    <n v="83"/>
    <n v="88"/>
  </r>
  <r>
    <s v="female"/>
    <s v="group D"/>
    <x v="3"/>
    <x v="0"/>
    <s v="none"/>
    <s v="6.532438114960176"/>
    <n v="17"/>
    <n v="71"/>
    <n v="71"/>
    <n v="74"/>
  </r>
  <r>
    <s v="female"/>
    <s v="group A"/>
    <x v="1"/>
    <x v="0"/>
    <s v="none"/>
    <s v="3.222000465128445"/>
    <n v="25"/>
    <n v="58"/>
    <n v="70"/>
    <n v="67"/>
  </r>
  <r>
    <s v="female"/>
    <s v="group D"/>
    <x v="5"/>
    <x v="0"/>
    <s v="none"/>
    <s v="3.0936969636972234"/>
    <n v="15"/>
    <n v="73"/>
    <n v="86"/>
    <n v="82"/>
  </r>
  <r>
    <s v="female"/>
    <s v="group C"/>
    <x v="0"/>
    <x v="0"/>
    <s v="none"/>
    <s v="8.288596249340731"/>
    <n v="25"/>
    <n v="65"/>
    <n v="72"/>
    <n v="74"/>
  </r>
  <r>
    <s v="male"/>
    <s v="group C"/>
    <x v="4"/>
    <x v="1"/>
    <s v="none"/>
    <s v="9.273516115463561"/>
    <n v="25"/>
    <n v="27"/>
    <n v="34"/>
    <n v="36"/>
  </r>
  <r>
    <s v="male"/>
    <s v="group C"/>
    <x v="4"/>
    <x v="0"/>
    <s v="none"/>
    <s v="3.514304916736517"/>
    <n v="17"/>
    <n v="71"/>
    <n v="79"/>
    <n v="71"/>
  </r>
  <r>
    <s v="male"/>
    <s v="group C"/>
    <x v="3"/>
    <x v="1"/>
    <s v="completed"/>
    <s v="11.874115659028693"/>
    <n v="27"/>
    <n v="43"/>
    <n v="45"/>
    <n v="50"/>
  </r>
  <r>
    <s v="female"/>
    <s v="group B"/>
    <x v="1"/>
    <x v="0"/>
    <s v="none"/>
    <s v="3.253044363798012"/>
    <n v="13"/>
    <n v="79"/>
    <n v="86"/>
    <n v="92"/>
  </r>
  <r>
    <s v="male"/>
    <s v="group C"/>
    <x v="3"/>
    <x v="1"/>
    <s v="completed"/>
    <s v="3.9390726041744273"/>
    <n v="25"/>
    <n v="78"/>
    <n v="81"/>
    <n v="82"/>
  </r>
  <r>
    <s v="male"/>
    <s v="group B"/>
    <x v="5"/>
    <x v="0"/>
    <s v="completed"/>
    <s v="12.440589585040184"/>
    <n v="13"/>
    <n v="65"/>
    <n v="66"/>
    <n v="62"/>
  </r>
  <r>
    <s v="female"/>
    <s v="group E"/>
    <x v="1"/>
    <x v="0"/>
    <s v="completed"/>
    <s v="3.2142669838197135"/>
    <n v="26"/>
    <n v="63"/>
    <n v="72"/>
    <n v="70"/>
  </r>
  <r>
    <s v="female"/>
    <s v="group D"/>
    <x v="1"/>
    <x v="1"/>
    <s v="none"/>
    <s v="10.857562647216103"/>
    <n v="5"/>
    <n v="58"/>
    <n v="67"/>
    <n v="62"/>
  </r>
  <r>
    <s v="female"/>
    <s v="group D"/>
    <x v="0"/>
    <x v="0"/>
    <s v="none"/>
    <s v="14.846204910674487"/>
    <n v="22"/>
    <n v="65"/>
    <n v="67"/>
    <n v="62"/>
  </r>
  <r>
    <s v="male"/>
    <s v="group B"/>
    <x v="1"/>
    <x v="0"/>
    <s v="none"/>
    <s v="18.846018758024133"/>
    <n v="29"/>
    <n v="79"/>
    <n v="67"/>
    <n v="67"/>
  </r>
  <r>
    <s v="male"/>
    <s v="group D"/>
    <x v="0"/>
    <x v="0"/>
    <s v="completed"/>
    <s v="16.411528786676996"/>
    <n v="24"/>
    <n v="68"/>
    <n v="74"/>
    <n v="74"/>
  </r>
  <r>
    <s v="female"/>
    <s v="group D"/>
    <x v="3"/>
    <x v="0"/>
    <s v="none"/>
    <s v="16.320670046041368"/>
    <n v="26"/>
    <n v="85"/>
    <n v="91"/>
    <n v="89"/>
  </r>
  <r>
    <s v="male"/>
    <s v="group B"/>
    <x v="4"/>
    <x v="0"/>
    <s v="completed"/>
    <s v="3.147570297377351"/>
    <n v="8"/>
    <n v="60"/>
    <n v="44"/>
    <n v="47"/>
  </r>
  <r>
    <s v="male"/>
    <s v="group C"/>
    <x v="1"/>
    <x v="0"/>
    <s v="completed"/>
    <s v="0.24139870601235902"/>
    <n v="27"/>
    <n v="98"/>
    <n v="86"/>
    <n v="90"/>
  </r>
  <r>
    <s v="female"/>
    <s v="group C"/>
    <x v="1"/>
    <x v="0"/>
    <s v="none"/>
    <s v="0.16709408344277143"/>
    <n v="17"/>
    <n v="58"/>
    <n v="67"/>
    <n v="72"/>
  </r>
  <r>
    <s v="female"/>
    <s v="group D"/>
    <x v="2"/>
    <x v="0"/>
    <s v="none"/>
    <s v="16.732404207353163"/>
    <n v="20"/>
    <n v="87"/>
    <n v="100"/>
    <n v="100"/>
  </r>
  <r>
    <s v="male"/>
    <s v="group E"/>
    <x v="3"/>
    <x v="0"/>
    <s v="completed"/>
    <s v="13.484392648947939"/>
    <n v="13"/>
    <n v="66"/>
    <n v="63"/>
    <n v="64"/>
  </r>
  <r>
    <s v="female"/>
    <s v="group B"/>
    <x v="3"/>
    <x v="1"/>
    <s v="none"/>
    <s v="3.381154982674115"/>
    <n v="8"/>
    <n v="52"/>
    <n v="76"/>
    <n v="70"/>
  </r>
  <r>
    <s v="female"/>
    <s v="group B"/>
    <x v="5"/>
    <x v="0"/>
    <s v="none"/>
    <s v="1.155763940397283"/>
    <n v="5"/>
    <n v="70"/>
    <n v="64"/>
    <n v="72"/>
  </r>
  <r>
    <s v="female"/>
    <s v="group D"/>
    <x v="3"/>
    <x v="1"/>
    <s v="completed"/>
    <s v="16.930689862468103"/>
    <n v="1"/>
    <n v="77"/>
    <n v="89"/>
    <n v="98"/>
  </r>
  <r>
    <s v="male"/>
    <s v="group C"/>
    <x v="4"/>
    <x v="0"/>
    <s v="none"/>
    <s v="6.333687120338521"/>
    <n v="8"/>
    <n v="62"/>
    <n v="55"/>
    <n v="49"/>
  </r>
  <r>
    <s v="male"/>
    <s v="group A"/>
    <x v="3"/>
    <x v="0"/>
    <s v="none"/>
    <s v="1.6779592125781861"/>
    <n v="20"/>
    <n v="54"/>
    <n v="53"/>
    <n v="47"/>
  </r>
  <r>
    <s v="female"/>
    <s v="group D"/>
    <x v="1"/>
    <x v="0"/>
    <s v="none"/>
    <s v="15.843798765504902"/>
    <n v="17"/>
    <n v="51"/>
    <n v="58"/>
    <n v="54"/>
  </r>
  <r>
    <s v="female"/>
    <s v="group E"/>
    <x v="0"/>
    <x v="0"/>
    <s v="completed"/>
    <s v="12.194163910735195"/>
    <n v="0"/>
    <n v="99"/>
    <n v="100"/>
    <n v="100"/>
  </r>
  <r>
    <s v="male"/>
    <s v="group C"/>
    <x v="4"/>
    <x v="0"/>
    <s v="none"/>
    <s v="19.13671335086126"/>
    <n v="22"/>
    <n v="84"/>
    <n v="77"/>
    <n v="74"/>
  </r>
  <r>
    <s v="female"/>
    <s v="group B"/>
    <x v="0"/>
    <x v="1"/>
    <s v="none"/>
    <s v="16.027430709272735"/>
    <n v="0"/>
    <n v="75"/>
    <n v="85"/>
    <n v="82"/>
  </r>
  <r>
    <s v="female"/>
    <s v="group D"/>
    <x v="0"/>
    <x v="0"/>
    <s v="none"/>
    <s v="13.747798253714292"/>
    <n v="8"/>
    <n v="78"/>
    <n v="82"/>
    <n v="79"/>
  </r>
  <r>
    <s v="female"/>
    <s v="group D"/>
    <x v="5"/>
    <x v="0"/>
    <s v="none"/>
    <s v="10.596677779241405"/>
    <n v="12"/>
    <n v="51"/>
    <n v="63"/>
    <n v="61"/>
  </r>
  <r>
    <s v="female"/>
    <s v="group C"/>
    <x v="1"/>
    <x v="0"/>
    <s v="none"/>
    <s v="19.96842467847548"/>
    <n v="24"/>
    <n v="55"/>
    <n v="69"/>
    <n v="65"/>
  </r>
  <r>
    <s v="female"/>
    <s v="group C"/>
    <x v="0"/>
    <x v="0"/>
    <s v="completed"/>
    <s v="17.253503258914517"/>
    <n v="22"/>
    <n v="79"/>
    <n v="92"/>
    <n v="89"/>
  </r>
  <r>
    <s v="male"/>
    <s v="group B"/>
    <x v="3"/>
    <x v="0"/>
    <s v="completed"/>
    <s v="14.348071108104206"/>
    <n v="29"/>
    <n v="91"/>
    <n v="89"/>
    <n v="92"/>
  </r>
  <r>
    <s v="female"/>
    <s v="group C"/>
    <x v="1"/>
    <x v="0"/>
    <s v="completed"/>
    <s v="15.765504163416592"/>
    <n v="15"/>
    <n v="88"/>
    <n v="93"/>
    <n v="93"/>
  </r>
  <r>
    <s v="male"/>
    <s v="group D"/>
    <x v="4"/>
    <x v="1"/>
    <s v="none"/>
    <s v="13.870196740926408"/>
    <n v="11"/>
    <n v="63"/>
    <n v="57"/>
    <n v="56"/>
  </r>
  <r>
    <s v="male"/>
    <s v="group E"/>
    <x v="1"/>
    <x v="0"/>
    <s v="none"/>
    <s v="10.981664451374458"/>
    <n v="16"/>
    <n v="83"/>
    <n v="80"/>
    <n v="73"/>
  </r>
  <r>
    <s v="female"/>
    <s v="group B"/>
    <x v="4"/>
    <x v="0"/>
    <s v="none"/>
    <n v="4.6949477000000003E-2"/>
    <n v="22"/>
    <n v="87"/>
    <n v="95"/>
    <n v="86"/>
  </r>
  <r>
    <s v="male"/>
    <s v="group B"/>
    <x v="5"/>
    <x v="0"/>
    <s v="none"/>
    <s v="11.086451961673108"/>
    <n v="8"/>
    <n v="72"/>
    <n v="68"/>
    <n v="67"/>
  </r>
  <r>
    <s v="male"/>
    <s v="group D"/>
    <x v="1"/>
    <x v="0"/>
    <s v="completed"/>
    <s v="14.321261068391163"/>
    <n v="25"/>
    <n v="65"/>
    <n v="77"/>
    <n v="74"/>
  </r>
  <r>
    <s v="male"/>
    <s v="group D"/>
    <x v="2"/>
    <x v="0"/>
    <s v="none"/>
    <s v="0.2999700075427336"/>
    <n v="27"/>
    <n v="82"/>
    <n v="82"/>
    <n v="74"/>
  </r>
  <r>
    <s v="female"/>
    <s v="group A"/>
    <x v="0"/>
    <x v="0"/>
    <s v="none"/>
    <n v="9.914340202"/>
    <n v="10"/>
    <n v="51"/>
    <n v="49"/>
    <n v="51"/>
  </r>
  <r>
    <s v="male"/>
    <s v="group D"/>
    <x v="2"/>
    <x v="0"/>
    <s v="none"/>
    <s v="10.087614085975336"/>
    <n v="8"/>
    <n v="89"/>
    <n v="84"/>
    <n v="82"/>
  </r>
  <r>
    <s v="male"/>
    <s v="group C"/>
    <x v="5"/>
    <x v="1"/>
    <s v="completed"/>
    <s v="5.0286030437492695"/>
    <n v="11"/>
    <n v="53"/>
    <n v="37"/>
    <n v="40"/>
  </r>
  <r>
    <s v="male"/>
    <s v="group E"/>
    <x v="1"/>
    <x v="1"/>
    <s v="completed"/>
    <s v="11.083625108975976"/>
    <n v="8"/>
    <n v="87"/>
    <n v="74"/>
    <n v="70"/>
  </r>
  <r>
    <s v="female"/>
    <s v="group C"/>
    <x v="1"/>
    <x v="0"/>
    <s v="completed"/>
    <s v="14.593568272944825"/>
    <n v="19"/>
    <n v="75"/>
    <n v="81"/>
    <n v="84"/>
  </r>
  <r>
    <s v="male"/>
    <s v="group D"/>
    <x v="0"/>
    <x v="1"/>
    <s v="completed"/>
    <s v="4.401325095693835"/>
    <n v="2"/>
    <n v="74"/>
    <n v="79"/>
    <n v="75"/>
  </r>
  <r>
    <s v="male"/>
    <s v="group C"/>
    <x v="0"/>
    <x v="0"/>
    <s v="none"/>
    <s v="12.276918900154485"/>
    <n v="22"/>
    <n v="58"/>
    <n v="55"/>
    <n v="48"/>
  </r>
  <r>
    <s v="male"/>
    <s v="group B"/>
    <x v="5"/>
    <x v="0"/>
    <s v="completed"/>
    <s v="1.9899245236127627"/>
    <n v="0"/>
    <n v="51"/>
    <n v="54"/>
    <n v="41"/>
  </r>
  <r>
    <s v="male"/>
    <s v="group E"/>
    <x v="4"/>
    <x v="0"/>
    <s v="none"/>
    <s v="18.36386316923406"/>
    <n v="10"/>
    <n v="70"/>
    <n v="55"/>
    <n v="56"/>
  </r>
  <r>
    <s v="female"/>
    <s v="group C"/>
    <x v="3"/>
    <x v="0"/>
    <s v="none"/>
    <s v="14.389199353399437"/>
    <n v="3"/>
    <n v="59"/>
    <n v="66"/>
    <n v="67"/>
  </r>
  <r>
    <s v="male"/>
    <s v="group D"/>
    <x v="1"/>
    <x v="0"/>
    <s v="completed"/>
    <s v="5.082945602556288"/>
    <n v="0"/>
    <n v="71"/>
    <n v="61"/>
    <n v="69"/>
  </r>
  <r>
    <s v="female"/>
    <s v="group D"/>
    <x v="5"/>
    <x v="0"/>
    <s v="none"/>
    <s v="16.195770573762093"/>
    <n v="24"/>
    <n v="76"/>
    <n v="72"/>
    <n v="71"/>
  </r>
  <r>
    <s v="female"/>
    <s v="group C"/>
    <x v="1"/>
    <x v="1"/>
    <s v="none"/>
    <s v="19.671945994775484"/>
    <n v="9"/>
    <n v="59"/>
    <n v="62"/>
    <n v="64"/>
  </r>
  <r>
    <s v="female"/>
    <s v="group E"/>
    <x v="1"/>
    <x v="1"/>
    <s v="completed"/>
    <s v="13.629212250343425"/>
    <n v="18"/>
    <n v="42"/>
    <n v="55"/>
    <n v="54"/>
  </r>
  <r>
    <s v="male"/>
    <s v="group A"/>
    <x v="4"/>
    <x v="0"/>
    <s v="none"/>
    <s v="19.933665558693594"/>
    <n v="20"/>
    <n v="57"/>
    <n v="43"/>
    <n v="47"/>
  </r>
  <r>
    <s v="male"/>
    <s v="group D"/>
    <x v="1"/>
    <x v="0"/>
    <s v="none"/>
    <s v="14.266434590025446"/>
    <n v="25"/>
    <n v="88"/>
    <n v="73"/>
    <n v="78"/>
  </r>
  <r>
    <s v="female"/>
    <s v="group C"/>
    <x v="1"/>
    <x v="1"/>
    <s v="none"/>
    <s v="9.211320151245115"/>
    <n v="19"/>
    <n v="22"/>
    <n v="39"/>
    <n v="33"/>
  </r>
  <r>
    <s v="male"/>
    <s v="group B"/>
    <x v="5"/>
    <x v="0"/>
    <s v="none"/>
    <s v="6.918990357264059"/>
    <n v="3"/>
    <n v="88"/>
    <n v="84"/>
    <n v="75"/>
  </r>
  <r>
    <s v="male"/>
    <s v="group C"/>
    <x v="3"/>
    <x v="1"/>
    <s v="none"/>
    <s v="10.100560922975339"/>
    <n v="14"/>
    <n v="73"/>
    <n v="68"/>
    <n v="66"/>
  </r>
  <r>
    <s v="female"/>
    <s v="group D"/>
    <x v="0"/>
    <x v="0"/>
    <s v="completed"/>
    <s v="16.772435923961137"/>
    <n v="24"/>
    <n v="68"/>
    <n v="75"/>
    <n v="81"/>
  </r>
  <r>
    <s v="male"/>
    <s v="group E"/>
    <x v="3"/>
    <x v="1"/>
    <s v="completed"/>
    <s v="9.126518476447972"/>
    <n v="26"/>
    <n v="100"/>
    <n v="100"/>
    <n v="93"/>
  </r>
  <r>
    <s v="male"/>
    <s v="group A"/>
    <x v="5"/>
    <x v="0"/>
    <s v="completed"/>
    <s v="11.206973487006469"/>
    <n v="8"/>
    <n v="62"/>
    <n v="67"/>
    <n v="69"/>
  </r>
  <r>
    <s v="male"/>
    <s v="group A"/>
    <x v="0"/>
    <x v="0"/>
    <s v="none"/>
    <s v="18.608972010900622"/>
    <n v="29"/>
    <n v="77"/>
    <n v="67"/>
    <n v="68"/>
  </r>
  <r>
    <s v="female"/>
    <s v="group B"/>
    <x v="3"/>
    <x v="0"/>
    <s v="completed"/>
    <s v="12.24317317886458"/>
    <n v="19"/>
    <n v="59"/>
    <n v="70"/>
    <n v="66"/>
  </r>
  <r>
    <s v="male"/>
    <s v="group D"/>
    <x v="0"/>
    <x v="0"/>
    <s v="none"/>
    <s v="17.182607195024666"/>
    <n v="19"/>
    <n v="54"/>
    <n v="49"/>
    <n v="47"/>
  </r>
  <r>
    <s v="male"/>
    <s v="group D"/>
    <x v="5"/>
    <x v="0"/>
    <s v="none"/>
    <s v="13.483842332300016"/>
    <n v="29"/>
    <n v="62"/>
    <n v="67"/>
    <n v="61"/>
  </r>
  <r>
    <s v="female"/>
    <s v="group C"/>
    <x v="1"/>
    <x v="0"/>
    <s v="completed"/>
    <s v="12.600691550848763"/>
    <n v="7"/>
    <n v="70"/>
    <n v="89"/>
    <n v="88"/>
  </r>
  <r>
    <s v="female"/>
    <s v="group E"/>
    <x v="4"/>
    <x v="1"/>
    <s v="completed"/>
    <s v="12.416652655483858"/>
    <n v="17"/>
    <n v="66"/>
    <n v="74"/>
    <n v="78"/>
  </r>
  <r>
    <s v="male"/>
    <s v="group B"/>
    <x v="1"/>
    <x v="1"/>
    <s v="none"/>
    <n v="9.0750752049999992"/>
    <n v="6"/>
    <n v="60"/>
    <n v="60"/>
    <n v="60"/>
  </r>
  <r>
    <s v="female"/>
    <s v="group B"/>
    <x v="3"/>
    <x v="0"/>
    <s v="completed"/>
    <s v="5.926961537611614"/>
    <n v="8"/>
    <n v="61"/>
    <n v="86"/>
    <n v="87"/>
  </r>
  <r>
    <s v="male"/>
    <s v="group D"/>
    <x v="3"/>
    <x v="1"/>
    <s v="none"/>
    <s v="3.1707231699984706"/>
    <n v="10"/>
    <n v="66"/>
    <n v="62"/>
    <n v="64"/>
  </r>
  <r>
    <s v="male"/>
    <s v="group B"/>
    <x v="3"/>
    <x v="1"/>
    <s v="completed"/>
    <s v="18.446155509671694"/>
    <n v="11"/>
    <n v="82"/>
    <n v="78"/>
    <n v="74"/>
  </r>
  <r>
    <s v="female"/>
    <s v="group E"/>
    <x v="1"/>
    <x v="1"/>
    <s v="completed"/>
    <s v="17.562303939714027"/>
    <n v="22"/>
    <n v="75"/>
    <n v="88"/>
    <n v="85"/>
  </r>
  <r>
    <s v="male"/>
    <s v="group B"/>
    <x v="2"/>
    <x v="1"/>
    <s v="none"/>
    <s v="12.324485032139059"/>
    <n v="0"/>
    <n v="49"/>
    <n v="53"/>
    <n v="52"/>
  </r>
  <r>
    <s v="male"/>
    <s v="group C"/>
    <x v="4"/>
    <x v="0"/>
    <s v="none"/>
    <s v="6.8076967535509825"/>
    <n v="2"/>
    <n v="52"/>
    <n v="53"/>
    <n v="49"/>
  </r>
  <r>
    <s v="female"/>
    <s v="group E"/>
    <x v="2"/>
    <x v="0"/>
    <s v="none"/>
    <s v="6.859330394001564"/>
    <n v="4"/>
    <n v="81"/>
    <n v="92"/>
    <n v="91"/>
  </r>
  <r>
    <s v="female"/>
    <s v="group C"/>
    <x v="0"/>
    <x v="0"/>
    <s v="completed"/>
    <n v="0.51484819500000001"/>
    <n v="15"/>
    <n v="96"/>
    <n v="100"/>
    <n v="100"/>
  </r>
  <r>
    <s v="male"/>
    <s v="group C"/>
    <x v="4"/>
    <x v="1"/>
    <s v="completed"/>
    <s v="3.8403250193589766"/>
    <n v="24"/>
    <n v="53"/>
    <n v="51"/>
    <n v="51"/>
  </r>
  <r>
    <s v="female"/>
    <s v="group B"/>
    <x v="2"/>
    <x v="1"/>
    <s v="completed"/>
    <s v="12.064442713159274"/>
    <n v="22"/>
    <n v="58"/>
    <n v="76"/>
    <n v="78"/>
  </r>
  <r>
    <s v="female"/>
    <s v="group B"/>
    <x v="4"/>
    <x v="0"/>
    <s v="completed"/>
    <s v="5.327552828600477"/>
    <n v="26"/>
    <n v="68"/>
    <n v="83"/>
    <n v="78"/>
  </r>
  <r>
    <s v="female"/>
    <s v="group C"/>
    <x v="1"/>
    <x v="1"/>
    <s v="completed"/>
    <s v="7.343476288625843"/>
    <n v="9"/>
    <n v="67"/>
    <n v="75"/>
    <n v="70"/>
  </r>
  <r>
    <s v="male"/>
    <s v="group A"/>
    <x v="4"/>
    <x v="0"/>
    <s v="completed"/>
    <s v="17.819907492885296"/>
    <n v="13"/>
    <n v="72"/>
    <n v="73"/>
    <n v="74"/>
  </r>
  <r>
    <s v="male"/>
    <s v="group E"/>
    <x v="5"/>
    <x v="0"/>
    <s v="none"/>
    <s v="11.112343093648057"/>
    <n v="11"/>
    <n v="94"/>
    <n v="88"/>
    <n v="78"/>
  </r>
  <r>
    <s v="female"/>
    <s v="group D"/>
    <x v="1"/>
    <x v="0"/>
    <s v="none"/>
    <s v="0.6687597112219534"/>
    <n v="8"/>
    <n v="79"/>
    <n v="86"/>
    <n v="81"/>
  </r>
  <r>
    <s v="female"/>
    <s v="group C"/>
    <x v="3"/>
    <x v="0"/>
    <s v="none"/>
    <s v="4.708144976830533"/>
    <n v="16"/>
    <n v="63"/>
    <n v="67"/>
    <n v="70"/>
  </r>
  <r>
    <s v="female"/>
    <s v="group C"/>
    <x v="0"/>
    <x v="1"/>
    <s v="completed"/>
    <n v="8.3157212410000003"/>
    <n v="1"/>
    <n v="43"/>
    <n v="51"/>
    <n v="54"/>
  </r>
  <r>
    <s v="female"/>
    <s v="group C"/>
    <x v="2"/>
    <x v="0"/>
    <s v="completed"/>
    <s v="12.353891723771817"/>
    <n v="6"/>
    <n v="81"/>
    <n v="91"/>
    <n v="87"/>
  </r>
  <r>
    <s v="female"/>
    <s v="group B"/>
    <x v="4"/>
    <x v="1"/>
    <s v="completed"/>
    <s v="18.67230755670188"/>
    <n v="4"/>
    <n v="46"/>
    <n v="54"/>
    <n v="58"/>
  </r>
  <r>
    <s v="female"/>
    <s v="group C"/>
    <x v="3"/>
    <x v="0"/>
    <s v="completed"/>
    <s v="17.09234926303671"/>
    <n v="18"/>
    <n v="71"/>
    <n v="77"/>
    <n v="77"/>
  </r>
  <r>
    <s v="female"/>
    <s v="group B"/>
    <x v="2"/>
    <x v="1"/>
    <s v="completed"/>
    <s v="2.9972559777310326"/>
    <n v="28"/>
    <n v="52"/>
    <n v="70"/>
    <n v="62"/>
  </r>
  <r>
    <s v="female"/>
    <s v="group D"/>
    <x v="5"/>
    <x v="0"/>
    <s v="completed"/>
    <n v="8.6479272040000001"/>
    <n v="20"/>
    <n v="97"/>
    <n v="100"/>
    <n v="100"/>
  </r>
  <r>
    <s v="male"/>
    <s v="group C"/>
    <x v="2"/>
    <x v="1"/>
    <s v="completed"/>
    <s v="13.015766416938037"/>
    <n v="18"/>
    <n v="62"/>
    <n v="68"/>
    <n v="75"/>
  </r>
  <r>
    <s v="female"/>
    <s v="group C"/>
    <x v="1"/>
    <x v="1"/>
    <s v="none"/>
    <s v="18.215898610198977"/>
    <n v="17"/>
    <n v="46"/>
    <n v="64"/>
    <n v="66"/>
  </r>
  <r>
    <s v="female"/>
    <s v="group E"/>
    <x v="4"/>
    <x v="0"/>
    <s v="none"/>
    <s v="15.444805517865532"/>
    <n v="16"/>
    <n v="50"/>
    <n v="50"/>
    <n v="47"/>
  </r>
  <r>
    <s v="female"/>
    <s v="group D"/>
    <x v="3"/>
    <x v="0"/>
    <s v="none"/>
    <s v="7.661387394530134"/>
    <n v="16"/>
    <n v="65"/>
    <n v="69"/>
    <n v="70"/>
  </r>
  <r>
    <s v="male"/>
    <s v="group C"/>
    <x v="5"/>
    <x v="1"/>
    <s v="completed"/>
    <s v="17.338820856610248"/>
    <n v="12"/>
    <n v="45"/>
    <n v="52"/>
    <n v="49"/>
  </r>
  <r>
    <s v="male"/>
    <s v="group C"/>
    <x v="3"/>
    <x v="1"/>
    <s v="completed"/>
    <s v="17.42543701900234"/>
    <n v="29"/>
    <n v="65"/>
    <n v="67"/>
    <n v="65"/>
  </r>
  <r>
    <s v="male"/>
    <s v="group E"/>
    <x v="4"/>
    <x v="0"/>
    <s v="none"/>
    <n v="8.3489656780000008"/>
    <n v="8"/>
    <n v="80"/>
    <n v="76"/>
    <n v="65"/>
  </r>
  <r>
    <s v="male"/>
    <s v="group D"/>
    <x v="5"/>
    <x v="0"/>
    <s v="completed"/>
    <s v="6.074477032636516"/>
    <n v="15"/>
    <n v="62"/>
    <n v="66"/>
    <n v="68"/>
  </r>
  <r>
    <s v="male"/>
    <s v="group B"/>
    <x v="5"/>
    <x v="1"/>
    <s v="none"/>
    <s v="19.598288655647607"/>
    <n v="15"/>
    <n v="48"/>
    <n v="52"/>
    <n v="45"/>
  </r>
  <r>
    <s v="female"/>
    <s v="group C"/>
    <x v="0"/>
    <x v="0"/>
    <s v="none"/>
    <s v="0.6376959041718422"/>
    <n v="15"/>
    <n v="77"/>
    <n v="88"/>
    <n v="87"/>
  </r>
  <r>
    <s v="female"/>
    <s v="group E"/>
    <x v="3"/>
    <x v="0"/>
    <s v="none"/>
    <n v="9.6188321620000004"/>
    <n v="15"/>
    <n v="66"/>
    <n v="65"/>
    <n v="69"/>
  </r>
  <r>
    <s v="male"/>
    <s v="group D"/>
    <x v="1"/>
    <x v="0"/>
    <s v="completed"/>
    <s v="2.0896063350791616"/>
    <n v="13"/>
    <n v="76"/>
    <n v="83"/>
    <n v="79"/>
  </r>
  <r>
    <s v="female"/>
    <s v="group B"/>
    <x v="5"/>
    <x v="0"/>
    <s v="none"/>
    <s v="1.7543528343992865"/>
    <n v="24"/>
    <n v="62"/>
    <n v="64"/>
    <n v="66"/>
  </r>
  <r>
    <s v="male"/>
    <s v="group D"/>
    <x v="1"/>
    <x v="0"/>
    <s v="completed"/>
    <s v="12.897120868594536"/>
    <n v="14"/>
    <n v="77"/>
    <n v="62"/>
    <n v="62"/>
  </r>
  <r>
    <s v="female"/>
    <s v="group C"/>
    <x v="2"/>
    <x v="0"/>
    <s v="completed"/>
    <s v="7.5450397143139085"/>
    <n v="18"/>
    <n v="69"/>
    <n v="84"/>
    <n v="85"/>
  </r>
  <r>
    <s v="male"/>
    <s v="group D"/>
    <x v="3"/>
    <x v="0"/>
    <s v="none"/>
    <s v="2.0678987326008302"/>
    <n v="20"/>
    <n v="61"/>
    <n v="55"/>
    <n v="52"/>
  </r>
  <r>
    <s v="male"/>
    <s v="group C"/>
    <x v="5"/>
    <x v="1"/>
    <s v="completed"/>
    <s v="2.7083769963565607"/>
    <n v="5"/>
    <n v="59"/>
    <n v="69"/>
    <n v="65"/>
  </r>
  <r>
    <s v="male"/>
    <s v="group E"/>
    <x v="4"/>
    <x v="1"/>
    <s v="none"/>
    <s v="8.875671585646714"/>
    <n v="25"/>
    <n v="55"/>
    <n v="56"/>
    <n v="51"/>
  </r>
  <r>
    <s v="female"/>
    <s v="group B"/>
    <x v="1"/>
    <x v="1"/>
    <s v="none"/>
    <s v="11.677165346160308"/>
    <n v="1"/>
    <n v="45"/>
    <n v="53"/>
    <n v="55"/>
  </r>
  <r>
    <s v="female"/>
    <s v="group B"/>
    <x v="0"/>
    <x v="1"/>
    <s v="none"/>
    <s v="13.812454841626831"/>
    <n v="3"/>
    <n v="78"/>
    <n v="79"/>
    <n v="76"/>
  </r>
  <r>
    <s v="female"/>
    <s v="group C"/>
    <x v="3"/>
    <x v="0"/>
    <s v="completed"/>
    <s v="14.471614008799618"/>
    <n v="25"/>
    <n v="67"/>
    <n v="84"/>
    <n v="86"/>
  </r>
  <r>
    <s v="female"/>
    <s v="group D"/>
    <x v="1"/>
    <x v="1"/>
    <s v="none"/>
    <s v="15.424496305808074"/>
    <n v="22"/>
    <n v="65"/>
    <n v="81"/>
    <n v="77"/>
  </r>
  <r>
    <s v="male"/>
    <s v="group C"/>
    <x v="3"/>
    <x v="0"/>
    <s v="none"/>
    <s v="8.448915800617582"/>
    <n v="20"/>
    <n v="69"/>
    <n v="77"/>
    <n v="69"/>
  </r>
  <r>
    <s v="female"/>
    <s v="group B"/>
    <x v="3"/>
    <x v="0"/>
    <s v="none"/>
    <s v="19.833722807854713"/>
    <n v="7"/>
    <n v="57"/>
    <n v="69"/>
    <n v="68"/>
  </r>
  <r>
    <s v="male"/>
    <s v="group C"/>
    <x v="1"/>
    <x v="0"/>
    <s v="none"/>
    <s v="14.140623386457687"/>
    <n v="4"/>
    <n v="59"/>
    <n v="41"/>
    <n v="42"/>
  </r>
  <r>
    <s v="male"/>
    <s v="group D"/>
    <x v="5"/>
    <x v="0"/>
    <s v="completed"/>
    <s v="15.887684501857127"/>
    <n v="6"/>
    <n v="74"/>
    <n v="71"/>
    <n v="78"/>
  </r>
  <r>
    <s v="male"/>
    <s v="group E"/>
    <x v="0"/>
    <x v="0"/>
    <s v="none"/>
    <s v="14.078733340690308"/>
    <n v="11"/>
    <n v="82"/>
    <n v="62"/>
    <n v="62"/>
  </r>
  <r>
    <s v="male"/>
    <s v="group E"/>
    <x v="4"/>
    <x v="0"/>
    <s v="completed"/>
    <s v="14.71907121030356"/>
    <n v="13"/>
    <n v="81"/>
    <n v="80"/>
    <n v="76"/>
  </r>
  <r>
    <s v="female"/>
    <s v="group B"/>
    <x v="1"/>
    <x v="1"/>
    <s v="none"/>
    <n v="8.4671605470000006"/>
    <n v="13"/>
    <n v="74"/>
    <n v="81"/>
    <n v="76"/>
  </r>
  <r>
    <s v="female"/>
    <s v="group B"/>
    <x v="1"/>
    <x v="1"/>
    <s v="none"/>
    <s v="13.95980942995585"/>
    <n v="25"/>
    <n v="58"/>
    <n v="61"/>
    <n v="66"/>
  </r>
  <r>
    <s v="male"/>
    <s v="group D"/>
    <x v="5"/>
    <x v="1"/>
    <s v="completed"/>
    <s v="14.304737069652662"/>
    <n v="18"/>
    <n v="80"/>
    <n v="79"/>
    <n v="79"/>
  </r>
  <r>
    <s v="male"/>
    <s v="group C"/>
    <x v="1"/>
    <x v="1"/>
    <s v="none"/>
    <s v="14.452234496688991"/>
    <n v="3"/>
    <n v="35"/>
    <n v="28"/>
    <n v="27"/>
  </r>
  <r>
    <s v="female"/>
    <s v="group C"/>
    <x v="4"/>
    <x v="1"/>
    <s v="none"/>
    <s v="2.4516631301436598"/>
    <n v="19"/>
    <n v="42"/>
    <n v="62"/>
    <n v="60"/>
  </r>
  <r>
    <s v="male"/>
    <s v="group C"/>
    <x v="3"/>
    <x v="1"/>
    <s v="completed"/>
    <s v="16.922383711102235"/>
    <n v="12"/>
    <n v="60"/>
    <n v="51"/>
    <n v="56"/>
  </r>
  <r>
    <s v="male"/>
    <s v="group E"/>
    <x v="4"/>
    <x v="0"/>
    <s v="completed"/>
    <s v="12.97068318066685"/>
    <n v="25"/>
    <n v="87"/>
    <n v="91"/>
    <n v="81"/>
  </r>
  <r>
    <s v="male"/>
    <s v="group B"/>
    <x v="5"/>
    <x v="0"/>
    <s v="completed"/>
    <s v="10.094789507607034"/>
    <n v="23"/>
    <n v="84"/>
    <n v="83"/>
    <n v="75"/>
  </r>
  <r>
    <s v="female"/>
    <s v="group E"/>
    <x v="3"/>
    <x v="1"/>
    <s v="completed"/>
    <s v="16.24827315247801"/>
    <n v="4"/>
    <n v="83"/>
    <n v="86"/>
    <n v="88"/>
  </r>
  <r>
    <s v="female"/>
    <s v="group C"/>
    <x v="4"/>
    <x v="1"/>
    <s v="none"/>
    <s v="16.202801814909225"/>
    <n v="0"/>
    <n v="34"/>
    <n v="42"/>
    <n v="39"/>
  </r>
  <r>
    <s v="male"/>
    <s v="group B"/>
    <x v="4"/>
    <x v="1"/>
    <s v="none"/>
    <n v="15.71616968"/>
    <n v="9"/>
    <n v="66"/>
    <n v="77"/>
    <n v="70"/>
  </r>
  <r>
    <s v="male"/>
    <s v="group B"/>
    <x v="5"/>
    <x v="0"/>
    <s v="completed"/>
    <s v="10.737364359412043"/>
    <n v="24"/>
    <n v="61"/>
    <n v="56"/>
    <n v="56"/>
  </r>
  <r>
    <s v="female"/>
    <s v="group D"/>
    <x v="4"/>
    <x v="0"/>
    <s v="completed"/>
    <s v="8.789307487168843"/>
    <n v="13"/>
    <n v="56"/>
    <n v="68"/>
    <n v="74"/>
  </r>
  <r>
    <s v="male"/>
    <s v="group B"/>
    <x v="3"/>
    <x v="0"/>
    <s v="none"/>
    <s v="15.739515987624017"/>
    <n v="9"/>
    <n v="87"/>
    <n v="85"/>
    <n v="73"/>
  </r>
  <r>
    <s v="female"/>
    <s v="group C"/>
    <x v="5"/>
    <x v="1"/>
    <s v="none"/>
    <s v="6.656367221833439"/>
    <n v="12"/>
    <n v="55"/>
    <n v="65"/>
    <n v="62"/>
  </r>
  <r>
    <s v="male"/>
    <s v="group D"/>
    <x v="5"/>
    <x v="0"/>
    <s v="none"/>
    <s v="8.982468278605015"/>
    <n v="11"/>
    <n v="86"/>
    <n v="80"/>
    <n v="75"/>
  </r>
  <r>
    <s v="female"/>
    <s v="group B"/>
    <x v="3"/>
    <x v="0"/>
    <s v="completed"/>
    <n v="4.6269742640000002"/>
    <n v="14"/>
    <n v="52"/>
    <n v="66"/>
    <n v="73"/>
  </r>
  <r>
    <s v="female"/>
    <s v="group E"/>
    <x v="2"/>
    <x v="1"/>
    <s v="none"/>
    <n v="0.77747394000000003"/>
    <n v="22"/>
    <n v="45"/>
    <n v="56"/>
    <n v="54"/>
  </r>
  <r>
    <s v="female"/>
    <s v="group C"/>
    <x v="1"/>
    <x v="0"/>
    <s v="none"/>
    <s v="5.253866197600104"/>
    <n v="7"/>
    <n v="72"/>
    <n v="72"/>
    <n v="71"/>
  </r>
  <r>
    <s v="male"/>
    <s v="group D"/>
    <x v="4"/>
    <x v="0"/>
    <s v="none"/>
    <s v="9.076931276138232"/>
    <n v="26"/>
    <n v="57"/>
    <n v="50"/>
    <n v="54"/>
  </r>
  <r>
    <s v="male"/>
    <s v="group A"/>
    <x v="5"/>
    <x v="1"/>
    <s v="none"/>
    <s v="8.531838021087868"/>
    <n v="16"/>
    <n v="68"/>
    <n v="72"/>
    <n v="64"/>
  </r>
  <r>
    <s v="female"/>
    <s v="group C"/>
    <x v="1"/>
    <x v="0"/>
    <s v="completed"/>
    <s v="13.47033573634518"/>
    <n v="9"/>
    <n v="88"/>
    <n v="95"/>
    <n v="94"/>
  </r>
  <r>
    <s v="male"/>
    <s v="group D"/>
    <x v="1"/>
    <x v="0"/>
    <s v="none"/>
    <s v="16.25465808609359"/>
    <n v="29"/>
    <n v="76"/>
    <n v="64"/>
    <n v="66"/>
  </r>
  <r>
    <s v="male"/>
    <s v="group C"/>
    <x v="3"/>
    <x v="0"/>
    <s v="none"/>
    <s v="6.065620521308905"/>
    <n v="9"/>
    <n v="46"/>
    <n v="43"/>
    <n v="42"/>
  </r>
  <r>
    <s v="female"/>
    <s v="group B"/>
    <x v="0"/>
    <x v="0"/>
    <s v="none"/>
    <n v="5.9690132230000001"/>
    <n v="0"/>
    <n v="67"/>
    <n v="86"/>
    <n v="83"/>
  </r>
  <r>
    <s v="male"/>
    <s v="group E"/>
    <x v="5"/>
    <x v="0"/>
    <s v="none"/>
    <s v="16.975351705626284"/>
    <n v="27"/>
    <n v="92"/>
    <n v="87"/>
    <n v="78"/>
  </r>
  <r>
    <s v="male"/>
    <s v="group C"/>
    <x v="0"/>
    <x v="0"/>
    <s v="completed"/>
    <s v="12.183907827866525"/>
    <n v="13"/>
    <n v="83"/>
    <n v="82"/>
    <n v="84"/>
  </r>
  <r>
    <s v="male"/>
    <s v="group D"/>
    <x v="3"/>
    <x v="0"/>
    <s v="none"/>
    <s v="4.536742046509903"/>
    <n v="4"/>
    <n v="80"/>
    <n v="75"/>
    <n v="77"/>
  </r>
  <r>
    <s v="male"/>
    <s v="group D"/>
    <x v="0"/>
    <x v="1"/>
    <s v="none"/>
    <s v="2.349517977529858"/>
    <n v="6"/>
    <n v="63"/>
    <n v="66"/>
    <n v="67"/>
  </r>
  <r>
    <s v="female"/>
    <s v="group D"/>
    <x v="5"/>
    <x v="0"/>
    <s v="completed"/>
    <s v="13.274089578525121"/>
    <n v="27"/>
    <n v="64"/>
    <n v="60"/>
    <n v="74"/>
  </r>
  <r>
    <s v="male"/>
    <s v="group B"/>
    <x v="1"/>
    <x v="0"/>
    <s v="none"/>
    <s v="7.397772512962497"/>
    <n v="3"/>
    <n v="54"/>
    <n v="52"/>
    <n v="51"/>
  </r>
  <r>
    <s v="male"/>
    <s v="group C"/>
    <x v="3"/>
    <x v="0"/>
    <s v="none"/>
    <s v="3.258053089547881"/>
    <n v="8"/>
    <n v="84"/>
    <n v="80"/>
    <n v="80"/>
  </r>
  <r>
    <s v="male"/>
    <s v="group D"/>
    <x v="4"/>
    <x v="1"/>
    <s v="completed"/>
    <s v="4.033104225337844"/>
    <n v="3"/>
    <n v="73"/>
    <n v="68"/>
    <n v="66"/>
  </r>
  <r>
    <s v="female"/>
    <s v="group E"/>
    <x v="0"/>
    <x v="0"/>
    <s v="none"/>
    <n v="7.5984858190000004"/>
    <n v="15"/>
    <n v="80"/>
    <n v="83"/>
    <n v="83"/>
  </r>
  <r>
    <s v="female"/>
    <s v="group D"/>
    <x v="4"/>
    <x v="0"/>
    <s v="none"/>
    <s v="13.375065088996275"/>
    <n v="4"/>
    <n v="56"/>
    <n v="52"/>
    <n v="55"/>
  </r>
  <r>
    <s v="male"/>
    <s v="group E"/>
    <x v="1"/>
    <x v="0"/>
    <s v="none"/>
    <s v="7.9458258589181145"/>
    <n v="15"/>
    <n v="59"/>
    <n v="51"/>
    <n v="43"/>
  </r>
  <r>
    <s v="male"/>
    <s v="group D"/>
    <x v="5"/>
    <x v="0"/>
    <s v="none"/>
    <n v="8.0308810000000001E-3"/>
    <n v="27"/>
    <n v="75"/>
    <n v="74"/>
    <n v="69"/>
  </r>
  <r>
    <s v="male"/>
    <s v="group C"/>
    <x v="3"/>
    <x v="0"/>
    <s v="none"/>
    <s v="12.49401338813216"/>
    <n v="0"/>
    <n v="85"/>
    <n v="76"/>
    <n v="71"/>
  </r>
  <r>
    <s v="male"/>
    <s v="group E"/>
    <x v="3"/>
    <x v="0"/>
    <s v="none"/>
    <s v="7.854702284484551"/>
    <n v="8"/>
    <n v="89"/>
    <n v="76"/>
    <n v="74"/>
  </r>
  <r>
    <s v="female"/>
    <s v="group B"/>
    <x v="4"/>
    <x v="0"/>
    <s v="completed"/>
    <s v="0.48781986220193474"/>
    <n v="13"/>
    <n v="58"/>
    <n v="70"/>
    <n v="68"/>
  </r>
  <r>
    <s v="female"/>
    <s v="group B"/>
    <x v="4"/>
    <x v="0"/>
    <s v="none"/>
    <s v="4.612772804285279"/>
    <n v="23"/>
    <n v="65"/>
    <n v="64"/>
    <n v="62"/>
  </r>
  <r>
    <s v="male"/>
    <s v="group C"/>
    <x v="4"/>
    <x v="0"/>
    <s v="none"/>
    <s v="19.47485164076987"/>
    <n v="26"/>
    <n v="68"/>
    <n v="60"/>
    <n v="53"/>
  </r>
  <r>
    <s v="male"/>
    <s v="group A"/>
    <x v="5"/>
    <x v="0"/>
    <s v="completed"/>
    <s v="7.971184482882552"/>
    <n v="8"/>
    <n v="47"/>
    <n v="49"/>
    <n v="49"/>
  </r>
  <r>
    <s v="female"/>
    <s v="group D"/>
    <x v="1"/>
    <x v="1"/>
    <s v="none"/>
    <s v="6.263641014072703"/>
    <n v="5"/>
    <n v="71"/>
    <n v="83"/>
    <n v="83"/>
  </r>
  <r>
    <s v="female"/>
    <s v="group B"/>
    <x v="5"/>
    <x v="0"/>
    <s v="completed"/>
    <s v="19.920255667644966"/>
    <n v="12"/>
    <n v="60"/>
    <n v="70"/>
    <n v="70"/>
  </r>
  <r>
    <s v="male"/>
    <s v="group D"/>
    <x v="2"/>
    <x v="0"/>
    <s v="none"/>
    <s v="2.7274221005891675"/>
    <n v="0"/>
    <n v="80"/>
    <n v="80"/>
    <n v="72"/>
  </r>
  <r>
    <s v="male"/>
    <s v="group D"/>
    <x v="4"/>
    <x v="0"/>
    <s v="none"/>
    <s v="8.978234451855801"/>
    <n v="3"/>
    <n v="54"/>
    <n v="52"/>
    <n v="52"/>
  </r>
  <r>
    <s v="female"/>
    <s v="group E"/>
    <x v="1"/>
    <x v="0"/>
    <s v="none"/>
    <s v="13.733008467080746"/>
    <n v="6"/>
    <n v="62"/>
    <n v="73"/>
    <n v="70"/>
  </r>
  <r>
    <s v="female"/>
    <s v="group C"/>
    <x v="3"/>
    <x v="1"/>
    <s v="none"/>
    <s v="13.611661858375346"/>
    <n v="8"/>
    <n v="64"/>
    <n v="73"/>
    <n v="68"/>
  </r>
  <r>
    <s v="male"/>
    <s v="group C"/>
    <x v="3"/>
    <x v="0"/>
    <s v="completed"/>
    <s v="17.73179192337893"/>
    <n v="15"/>
    <n v="78"/>
    <n v="77"/>
    <n v="77"/>
  </r>
  <r>
    <s v="female"/>
    <s v="group B"/>
    <x v="1"/>
    <x v="0"/>
    <s v="none"/>
    <s v="12.388901476363065"/>
    <n v="18"/>
    <n v="70"/>
    <n v="75"/>
    <n v="78"/>
  </r>
  <r>
    <s v="female"/>
    <s v="group C"/>
    <x v="2"/>
    <x v="1"/>
    <s v="completed"/>
    <s v="15.679050361956818"/>
    <n v="23"/>
    <n v="65"/>
    <n v="81"/>
    <n v="81"/>
  </r>
  <r>
    <s v="female"/>
    <s v="group C"/>
    <x v="5"/>
    <x v="1"/>
    <s v="completed"/>
    <s v="12.366926140909149"/>
    <n v="17"/>
    <n v="64"/>
    <n v="79"/>
    <n v="77"/>
  </r>
  <r>
    <s v="male"/>
    <s v="group C"/>
    <x v="1"/>
    <x v="0"/>
    <s v="completed"/>
    <s v="1.4174340130974716"/>
    <n v="9"/>
    <n v="79"/>
    <n v="79"/>
    <n v="78"/>
  </r>
  <r>
    <s v="female"/>
    <s v="group C"/>
    <x v="5"/>
    <x v="1"/>
    <s v="none"/>
    <s v="13.782181629736481"/>
    <n v="0"/>
    <n v="44"/>
    <n v="50"/>
    <n v="51"/>
  </r>
  <r>
    <s v="female"/>
    <s v="group E"/>
    <x v="4"/>
    <x v="0"/>
    <s v="none"/>
    <s v="18.719883580035553"/>
    <n v="18"/>
    <n v="99"/>
    <n v="93"/>
    <n v="90"/>
  </r>
  <r>
    <s v="male"/>
    <s v="group D"/>
    <x v="4"/>
    <x v="0"/>
    <s v="none"/>
    <s v="8.619661256945168"/>
    <n v="18"/>
    <n v="76"/>
    <n v="73"/>
    <n v="68"/>
  </r>
  <r>
    <s v="male"/>
    <s v="group D"/>
    <x v="5"/>
    <x v="1"/>
    <s v="none"/>
    <s v="18.116987799986116"/>
    <n v="6"/>
    <n v="59"/>
    <n v="42"/>
    <n v="41"/>
  </r>
  <r>
    <s v="female"/>
    <s v="group C"/>
    <x v="0"/>
    <x v="0"/>
    <s v="none"/>
    <s v="0.44405625975700636"/>
    <n v="9"/>
    <n v="63"/>
    <n v="75"/>
    <n v="81"/>
  </r>
  <r>
    <s v="female"/>
    <s v="group D"/>
    <x v="4"/>
    <x v="0"/>
    <s v="none"/>
    <s v="5.598746593838133"/>
    <n v="25"/>
    <n v="69"/>
    <n v="72"/>
    <n v="77"/>
  </r>
  <r>
    <s v="female"/>
    <s v="group D"/>
    <x v="3"/>
    <x v="0"/>
    <s v="completed"/>
    <s v="2.543649072650218"/>
    <n v="26"/>
    <n v="88"/>
    <n v="92"/>
    <n v="95"/>
  </r>
  <r>
    <s v="female"/>
    <s v="group E"/>
    <x v="1"/>
    <x v="1"/>
    <s v="none"/>
    <s v="19.184708706476442"/>
    <n v="14"/>
    <n v="71"/>
    <n v="76"/>
    <n v="70"/>
  </r>
  <r>
    <s v="male"/>
    <s v="group C"/>
    <x v="0"/>
    <x v="0"/>
    <s v="none"/>
    <s v="3.4236948767025055"/>
    <n v="27"/>
    <n v="69"/>
    <n v="63"/>
    <n v="61"/>
  </r>
  <r>
    <s v="male"/>
    <s v="group C"/>
    <x v="1"/>
    <x v="0"/>
    <s v="none"/>
    <s v="10.69601953838336"/>
    <n v="27"/>
    <n v="58"/>
    <n v="49"/>
    <n v="42"/>
  </r>
  <r>
    <s v="female"/>
    <s v="group D"/>
    <x v="3"/>
    <x v="1"/>
    <s v="none"/>
    <s v="11.148494893402841"/>
    <n v="15"/>
    <n v="47"/>
    <n v="53"/>
    <n v="58"/>
  </r>
  <r>
    <s v="female"/>
    <s v="group D"/>
    <x v="1"/>
    <x v="0"/>
    <s v="none"/>
    <s v="5.669222985281584"/>
    <n v="24"/>
    <n v="65"/>
    <n v="70"/>
    <n v="71"/>
  </r>
  <r>
    <s v="male"/>
    <s v="group B"/>
    <x v="1"/>
    <x v="0"/>
    <s v="completed"/>
    <s v="12.85666781631476"/>
    <n v="5"/>
    <n v="88"/>
    <n v="85"/>
    <n v="76"/>
  </r>
  <r>
    <s v="male"/>
    <s v="group C"/>
    <x v="0"/>
    <x v="0"/>
    <s v="none"/>
    <n v="9.2206713619999991"/>
    <n v="4"/>
    <n v="83"/>
    <n v="78"/>
    <n v="73"/>
  </r>
  <r>
    <s v="female"/>
    <s v="group C"/>
    <x v="5"/>
    <x v="0"/>
    <s v="completed"/>
    <s v="6.964612794147373"/>
    <n v="25"/>
    <n v="85"/>
    <n v="92"/>
    <n v="93"/>
  </r>
  <r>
    <s v="female"/>
    <s v="group E"/>
    <x v="4"/>
    <x v="0"/>
    <s v="completed"/>
    <s v="8.773433936060977"/>
    <n v="16"/>
    <n v="59"/>
    <n v="63"/>
    <n v="75"/>
  </r>
  <r>
    <s v="female"/>
    <s v="group C"/>
    <x v="5"/>
    <x v="1"/>
    <s v="none"/>
    <s v="6.587561340684354"/>
    <n v="27"/>
    <n v="65"/>
    <n v="86"/>
    <n v="80"/>
  </r>
  <r>
    <s v="male"/>
    <s v="group B"/>
    <x v="0"/>
    <x v="1"/>
    <s v="none"/>
    <s v="0.7539478084534124"/>
    <n v="20"/>
    <n v="73"/>
    <n v="56"/>
    <n v="57"/>
  </r>
  <r>
    <s v="male"/>
    <s v="group D"/>
    <x v="4"/>
    <x v="0"/>
    <s v="none"/>
    <s v="14.54262393763855"/>
    <n v="15"/>
    <n v="53"/>
    <n v="52"/>
    <n v="42"/>
  </r>
  <r>
    <s v="male"/>
    <s v="group D"/>
    <x v="4"/>
    <x v="0"/>
    <s v="none"/>
    <n v="9.2491363409999998"/>
    <n v="11"/>
    <n v="45"/>
    <n v="48"/>
    <n v="46"/>
  </r>
  <r>
    <s v="female"/>
    <s v="group D"/>
    <x v="0"/>
    <x v="1"/>
    <s v="none"/>
    <s v="16.828795199124894"/>
    <n v="28"/>
    <n v="73"/>
    <n v="79"/>
    <n v="84"/>
  </r>
  <r>
    <s v="female"/>
    <s v="group D"/>
    <x v="1"/>
    <x v="1"/>
    <s v="completed"/>
    <s v="2.6313061327870924"/>
    <n v="5"/>
    <n v="70"/>
    <n v="78"/>
    <n v="78"/>
  </r>
  <r>
    <s v="female"/>
    <s v="group B"/>
    <x v="5"/>
    <x v="0"/>
    <s v="none"/>
    <s v="18.63888279308744"/>
    <n v="20"/>
    <n v="37"/>
    <n v="46"/>
    <n v="46"/>
  </r>
  <r>
    <s v="male"/>
    <s v="group B"/>
    <x v="3"/>
    <x v="0"/>
    <s v="completed"/>
    <s v="18.782173966204812"/>
    <n v="19"/>
    <n v="81"/>
    <n v="82"/>
    <n v="82"/>
  </r>
  <r>
    <s v="male"/>
    <s v="group E"/>
    <x v="3"/>
    <x v="0"/>
    <s v="completed"/>
    <s v="2.5160467269210263"/>
    <n v="14"/>
    <n v="97"/>
    <n v="82"/>
    <n v="88"/>
  </r>
  <r>
    <s v="female"/>
    <s v="group B"/>
    <x v="5"/>
    <x v="0"/>
    <s v="none"/>
    <s v="9.531358871600371"/>
    <n v="2"/>
    <n v="67"/>
    <n v="89"/>
    <n v="82"/>
  </r>
  <r>
    <s v="male"/>
    <s v="group B"/>
    <x v="0"/>
    <x v="1"/>
    <s v="none"/>
    <n v="8.2282186349999993"/>
    <n v="12"/>
    <n v="88"/>
    <n v="75"/>
    <n v="76"/>
  </r>
  <r>
    <s v="male"/>
    <s v="group E"/>
    <x v="5"/>
    <x v="0"/>
    <s v="completed"/>
    <s v="13.267252219129857"/>
    <n v="14"/>
    <n v="77"/>
    <n v="76"/>
    <n v="77"/>
  </r>
  <r>
    <s v="male"/>
    <s v="group C"/>
    <x v="3"/>
    <x v="0"/>
    <s v="none"/>
    <s v="10.401653664331679"/>
    <n v="9"/>
    <n v="76"/>
    <n v="70"/>
    <n v="68"/>
  </r>
  <r>
    <s v="male"/>
    <s v="group D"/>
    <x v="5"/>
    <x v="0"/>
    <s v="none"/>
    <s v="11.413663501439572"/>
    <n v="21"/>
    <n v="86"/>
    <n v="73"/>
    <n v="70"/>
  </r>
  <r>
    <s v="male"/>
    <s v="group C"/>
    <x v="5"/>
    <x v="0"/>
    <s v="completed"/>
    <s v="11.469835277819534"/>
    <n v="23"/>
    <n v="63"/>
    <n v="60"/>
    <n v="57"/>
  </r>
  <r>
    <s v="female"/>
    <s v="group E"/>
    <x v="0"/>
    <x v="0"/>
    <s v="none"/>
    <s v="7.354170162550863"/>
    <n v="2"/>
    <n v="65"/>
    <n v="73"/>
    <n v="75"/>
  </r>
  <r>
    <s v="male"/>
    <s v="group D"/>
    <x v="4"/>
    <x v="1"/>
    <s v="completed"/>
    <s v="13.219476412993515"/>
    <n v="12"/>
    <n v="78"/>
    <n v="77"/>
    <n v="80"/>
  </r>
  <r>
    <s v="male"/>
    <s v="group B"/>
    <x v="3"/>
    <x v="1"/>
    <s v="none"/>
    <s v="15.785813093542094"/>
    <n v="4"/>
    <n v="67"/>
    <n v="62"/>
    <n v="60"/>
  </r>
  <r>
    <s v="male"/>
    <s v="group A"/>
    <x v="5"/>
    <x v="0"/>
    <s v="completed"/>
    <s v="0.6004045143467263"/>
    <n v="26"/>
    <n v="46"/>
    <n v="41"/>
    <n v="43"/>
  </r>
  <r>
    <s v="male"/>
    <s v="group E"/>
    <x v="3"/>
    <x v="0"/>
    <s v="completed"/>
    <s v="1.232159705849385"/>
    <n v="17"/>
    <n v="71"/>
    <n v="74"/>
    <n v="68"/>
  </r>
  <r>
    <s v="male"/>
    <s v="group C"/>
    <x v="4"/>
    <x v="1"/>
    <s v="completed"/>
    <s v="7.598010446454079"/>
    <n v="0"/>
    <n v="40"/>
    <n v="46"/>
    <n v="50"/>
  </r>
  <r>
    <s v="male"/>
    <s v="group D"/>
    <x v="3"/>
    <x v="1"/>
    <s v="none"/>
    <s v="2.7186549473464128"/>
    <n v="5"/>
    <n v="90"/>
    <n v="87"/>
    <n v="75"/>
  </r>
  <r>
    <s v="male"/>
    <s v="group A"/>
    <x v="1"/>
    <x v="1"/>
    <s v="completed"/>
    <n v="3.5725775350000002"/>
    <n v="14"/>
    <n v="81"/>
    <n v="78"/>
    <n v="81"/>
  </r>
  <r>
    <s v="male"/>
    <s v="group D"/>
    <x v="5"/>
    <x v="1"/>
    <s v="none"/>
    <s v="7.339156636339905"/>
    <n v="27"/>
    <n v="56"/>
    <n v="54"/>
    <n v="52"/>
  </r>
  <r>
    <s v="female"/>
    <s v="group C"/>
    <x v="3"/>
    <x v="0"/>
    <s v="completed"/>
    <s v="3.7263355303706702"/>
    <n v="8"/>
    <n v="67"/>
    <n v="84"/>
    <n v="81"/>
  </r>
  <r>
    <s v="male"/>
    <s v="group B"/>
    <x v="3"/>
    <x v="0"/>
    <s v="none"/>
    <s v="7.069549502567575"/>
    <n v="9"/>
    <n v="80"/>
    <n v="76"/>
    <n v="64"/>
  </r>
  <r>
    <s v="female"/>
    <s v="group C"/>
    <x v="3"/>
    <x v="0"/>
    <s v="completed"/>
    <s v="19.388787513517567"/>
    <n v="16"/>
    <n v="74"/>
    <n v="75"/>
    <n v="83"/>
  </r>
  <r>
    <s v="male"/>
    <s v="group A"/>
    <x v="1"/>
    <x v="0"/>
    <s v="none"/>
    <s v="0.1690299212492108"/>
    <n v="22"/>
    <n v="69"/>
    <n v="67"/>
    <n v="69"/>
  </r>
  <r>
    <s v="male"/>
    <s v="group E"/>
    <x v="1"/>
    <x v="0"/>
    <s v="completed"/>
    <s v="12.535676341036892"/>
    <n v="24"/>
    <n v="99"/>
    <n v="87"/>
    <n v="81"/>
  </r>
  <r>
    <s v="male"/>
    <s v="group C"/>
    <x v="5"/>
    <x v="0"/>
    <s v="none"/>
    <s v="2.2906573665269647"/>
    <n v="19"/>
    <n v="51"/>
    <n v="52"/>
    <n v="44"/>
  </r>
  <r>
    <s v="female"/>
    <s v="group B"/>
    <x v="3"/>
    <x v="1"/>
    <s v="none"/>
    <s v="1.4514959608942157"/>
    <n v="2"/>
    <n v="53"/>
    <n v="71"/>
    <n v="67"/>
  </r>
  <r>
    <s v="female"/>
    <s v="group D"/>
    <x v="4"/>
    <x v="1"/>
    <s v="none"/>
    <s v="8.847874814963872"/>
    <n v="25"/>
    <n v="49"/>
    <n v="57"/>
    <n v="52"/>
  </r>
  <r>
    <s v="female"/>
    <s v="group B"/>
    <x v="3"/>
    <x v="0"/>
    <s v="none"/>
    <s v="16.100353864692558"/>
    <n v="24"/>
    <n v="73"/>
    <n v="76"/>
    <n v="80"/>
  </r>
  <r>
    <s v="male"/>
    <s v="group B"/>
    <x v="0"/>
    <x v="0"/>
    <s v="none"/>
    <s v="10.028829473958215"/>
    <n v="14"/>
    <n v="66"/>
    <n v="60"/>
    <n v="57"/>
  </r>
  <r>
    <s v="male"/>
    <s v="group D"/>
    <x v="0"/>
    <x v="0"/>
    <s v="completed"/>
    <s v="15.09880400316658"/>
    <n v="23"/>
    <n v="67"/>
    <n v="61"/>
    <n v="68"/>
  </r>
  <r>
    <s v="female"/>
    <s v="group C"/>
    <x v="3"/>
    <x v="1"/>
    <s v="completed"/>
    <s v="15.167695431798355"/>
    <n v="27"/>
    <n v="68"/>
    <n v="67"/>
    <n v="69"/>
  </r>
  <r>
    <s v="female"/>
    <s v="group C"/>
    <x v="0"/>
    <x v="0"/>
    <s v="completed"/>
    <s v="0.3776175715246932"/>
    <n v="23"/>
    <n v="59"/>
    <n v="64"/>
    <n v="75"/>
  </r>
  <r>
    <s v="male"/>
    <s v="group C"/>
    <x v="4"/>
    <x v="0"/>
    <s v="none"/>
    <s v="9.293789368903301"/>
    <n v="15"/>
    <n v="71"/>
    <n v="66"/>
    <n v="65"/>
  </r>
  <r>
    <s v="female"/>
    <s v="group D"/>
    <x v="2"/>
    <x v="0"/>
    <s v="completed"/>
    <s v="10.195141338017429"/>
    <n v="13"/>
    <n v="77"/>
    <n v="82"/>
    <n v="91"/>
  </r>
  <r>
    <s v="male"/>
    <s v="group C"/>
    <x v="3"/>
    <x v="0"/>
    <s v="none"/>
    <s v="11.582596080700982"/>
    <n v="13"/>
    <n v="83"/>
    <n v="72"/>
    <n v="78"/>
  </r>
  <r>
    <s v="male"/>
    <s v="group B"/>
    <x v="0"/>
    <x v="0"/>
    <s v="none"/>
    <s v="15.713332038889122"/>
    <n v="11"/>
    <n v="63"/>
    <n v="71"/>
    <n v="69"/>
  </r>
  <r>
    <s v="female"/>
    <s v="group D"/>
    <x v="3"/>
    <x v="1"/>
    <s v="none"/>
    <s v="14.057328881002027"/>
    <n v="11"/>
    <n v="56"/>
    <n v="65"/>
    <n v="63"/>
  </r>
  <r>
    <s v="female"/>
    <s v="group C"/>
    <x v="4"/>
    <x v="1"/>
    <s v="completed"/>
    <s v="4.188134278998672"/>
    <n v="20"/>
    <n v="67"/>
    <n v="79"/>
    <n v="84"/>
  </r>
  <r>
    <s v="female"/>
    <s v="group E"/>
    <x v="4"/>
    <x v="0"/>
    <s v="none"/>
    <s v="7.088479839747723"/>
    <n v="19"/>
    <n v="75"/>
    <n v="86"/>
    <n v="79"/>
  </r>
  <r>
    <s v="female"/>
    <s v="group C"/>
    <x v="1"/>
    <x v="0"/>
    <s v="none"/>
    <s v="19.44459418432715"/>
    <n v="29"/>
    <n v="71"/>
    <n v="81"/>
    <n v="80"/>
  </r>
  <r>
    <s v="female"/>
    <s v="group C"/>
    <x v="5"/>
    <x v="1"/>
    <s v="none"/>
    <s v="4.190384486250642"/>
    <n v="17"/>
    <n v="43"/>
    <n v="53"/>
    <n v="53"/>
  </r>
  <r>
    <s v="female"/>
    <s v="group C"/>
    <x v="4"/>
    <x v="1"/>
    <s v="none"/>
    <s v="8.035873406667275"/>
    <n v="23"/>
    <n v="41"/>
    <n v="46"/>
    <n v="43"/>
  </r>
  <r>
    <s v="female"/>
    <s v="group C"/>
    <x v="1"/>
    <x v="0"/>
    <s v="none"/>
    <s v="4.003084224987337"/>
    <n v="22"/>
    <n v="82"/>
    <n v="90"/>
    <n v="94"/>
  </r>
  <r>
    <s v="male"/>
    <s v="group C"/>
    <x v="1"/>
    <x v="0"/>
    <s v="none"/>
    <s v="18.77156479172066"/>
    <n v="10"/>
    <n v="61"/>
    <n v="61"/>
    <n v="62"/>
  </r>
  <r>
    <s v="male"/>
    <s v="group A"/>
    <x v="1"/>
    <x v="1"/>
    <s v="none"/>
    <n v="8.0031054570000002"/>
    <n v="14"/>
    <n v="28"/>
    <n v="23"/>
    <n v="19"/>
  </r>
  <r>
    <s v="male"/>
    <s v="group C"/>
    <x v="3"/>
    <x v="0"/>
    <s v="completed"/>
    <s v="0.6835117808217483"/>
    <n v="6"/>
    <n v="82"/>
    <n v="75"/>
    <n v="77"/>
  </r>
  <r>
    <s v="female"/>
    <s v="group B"/>
    <x v="5"/>
    <x v="0"/>
    <s v="none"/>
    <s v="5.778740333151653"/>
    <n v="16"/>
    <n v="41"/>
    <n v="55"/>
    <n v="51"/>
  </r>
  <r>
    <s v="male"/>
    <s v="group C"/>
    <x v="4"/>
    <x v="0"/>
    <s v="none"/>
    <s v="8.720965959451757"/>
    <n v="5"/>
    <n v="71"/>
    <n v="60"/>
    <n v="61"/>
  </r>
  <r>
    <s v="male"/>
    <s v="group C"/>
    <x v="3"/>
    <x v="0"/>
    <s v="none"/>
    <n v="6.3130725400000003"/>
    <n v="9"/>
    <n v="47"/>
    <n v="37"/>
    <n v="35"/>
  </r>
  <r>
    <s v="male"/>
    <s v="group E"/>
    <x v="3"/>
    <x v="0"/>
    <s v="completed"/>
    <s v="17.02968898627988"/>
    <n v="8"/>
    <n v="62"/>
    <n v="56"/>
    <n v="53"/>
  </r>
  <r>
    <s v="male"/>
    <s v="group B"/>
    <x v="3"/>
    <x v="0"/>
    <s v="none"/>
    <s v="4.304876410019074"/>
    <n v="2"/>
    <n v="90"/>
    <n v="78"/>
    <n v="81"/>
  </r>
  <r>
    <s v="female"/>
    <s v="group C"/>
    <x v="0"/>
    <x v="0"/>
    <s v="none"/>
    <s v="3.9296530480583725"/>
    <n v="5"/>
    <n v="83"/>
    <n v="93"/>
    <n v="95"/>
  </r>
  <r>
    <s v="female"/>
    <s v="group B"/>
    <x v="1"/>
    <x v="1"/>
    <s v="none"/>
    <s v="17.381981374494572"/>
    <n v="27"/>
    <n v="61"/>
    <n v="68"/>
    <n v="66"/>
  </r>
  <r>
    <s v="male"/>
    <s v="group D"/>
    <x v="5"/>
    <x v="0"/>
    <s v="completed"/>
    <s v="12.34708501976134"/>
    <n v="1"/>
    <n v="76"/>
    <n v="70"/>
    <n v="69"/>
  </r>
  <r>
    <s v="male"/>
    <s v="group C"/>
    <x v="3"/>
    <x v="0"/>
    <s v="none"/>
    <s v="0.4513716640475418"/>
    <n v="3"/>
    <n v="49"/>
    <n v="51"/>
    <n v="43"/>
  </r>
  <r>
    <s v="female"/>
    <s v="group B"/>
    <x v="5"/>
    <x v="1"/>
    <s v="none"/>
    <s v="6.477911051607583"/>
    <n v="24"/>
    <n v="24"/>
    <n v="38"/>
    <n v="27"/>
  </r>
  <r>
    <s v="female"/>
    <s v="group D"/>
    <x v="5"/>
    <x v="1"/>
    <s v="completed"/>
    <s v="8.934790506227856"/>
    <n v="15"/>
    <n v="35"/>
    <n v="55"/>
    <n v="60"/>
  </r>
  <r>
    <s v="male"/>
    <s v="group C"/>
    <x v="4"/>
    <x v="1"/>
    <s v="none"/>
    <s v="8.384984986379315"/>
    <n v="19"/>
    <n v="58"/>
    <n v="61"/>
    <n v="52"/>
  </r>
  <r>
    <s v="female"/>
    <s v="group C"/>
    <x v="4"/>
    <x v="0"/>
    <s v="none"/>
    <s v="8.946648533323756"/>
    <n v="22"/>
    <n v="61"/>
    <n v="73"/>
    <n v="63"/>
  </r>
  <r>
    <s v="female"/>
    <s v="group B"/>
    <x v="4"/>
    <x v="0"/>
    <s v="completed"/>
    <s v="1.5648419716004547"/>
    <n v="14"/>
    <n v="69"/>
    <n v="76"/>
    <n v="74"/>
  </r>
  <r>
    <s v="male"/>
    <s v="group D"/>
    <x v="3"/>
    <x v="0"/>
    <s v="completed"/>
    <s v="17.656729813561583"/>
    <n v="15"/>
    <n v="67"/>
    <n v="72"/>
    <n v="67"/>
  </r>
  <r>
    <s v="male"/>
    <s v="group D"/>
    <x v="1"/>
    <x v="0"/>
    <s v="none"/>
    <s v="10.157948320067618"/>
    <n v="22"/>
    <n v="79"/>
    <n v="73"/>
    <n v="67"/>
  </r>
  <r>
    <s v="female"/>
    <s v="group C"/>
    <x v="4"/>
    <x v="0"/>
    <s v="none"/>
    <n v="6.9593733230000003"/>
    <n v="17"/>
    <n v="72"/>
    <n v="80"/>
    <n v="75"/>
  </r>
  <r>
    <s v="male"/>
    <s v="group B"/>
    <x v="1"/>
    <x v="0"/>
    <s v="none"/>
    <s v="0.025688510536028275"/>
    <n v="3"/>
    <n v="62"/>
    <n v="61"/>
    <n v="57"/>
  </r>
  <r>
    <s v="female"/>
    <s v="group C"/>
    <x v="0"/>
    <x v="0"/>
    <s v="completed"/>
    <s v="19.653048229871384"/>
    <n v="13"/>
    <n v="77"/>
    <n v="94"/>
    <n v="95"/>
  </r>
  <r>
    <s v="male"/>
    <s v="group D"/>
    <x v="4"/>
    <x v="1"/>
    <s v="none"/>
    <s v="11.541066834270886"/>
    <n v="21"/>
    <n v="75"/>
    <n v="74"/>
    <n v="66"/>
  </r>
  <r>
    <s v="male"/>
    <s v="group E"/>
    <x v="3"/>
    <x v="0"/>
    <s v="none"/>
    <s v="13.414944009435468"/>
    <n v="10"/>
    <n v="87"/>
    <n v="74"/>
    <n v="76"/>
  </r>
  <r>
    <s v="female"/>
    <s v="group B"/>
    <x v="0"/>
    <x v="0"/>
    <s v="none"/>
    <s v="19.15670608897006"/>
    <n v="23"/>
    <n v="52"/>
    <n v="65"/>
    <n v="69"/>
  </r>
  <r>
    <s v="male"/>
    <s v="group E"/>
    <x v="1"/>
    <x v="0"/>
    <s v="none"/>
    <s v="6.029123728213359"/>
    <n v="23"/>
    <n v="66"/>
    <n v="57"/>
    <n v="52"/>
  </r>
  <r>
    <s v="female"/>
    <s v="group C"/>
    <x v="1"/>
    <x v="0"/>
    <s v="completed"/>
    <s v="6.327508147753658"/>
    <n v="0"/>
    <n v="63"/>
    <n v="78"/>
    <n v="80"/>
  </r>
  <r>
    <s v="female"/>
    <s v="group C"/>
    <x v="3"/>
    <x v="0"/>
    <s v="none"/>
    <s v="18.91347074101609"/>
    <n v="22"/>
    <n v="46"/>
    <n v="58"/>
    <n v="57"/>
  </r>
  <r>
    <s v="female"/>
    <s v="group C"/>
    <x v="1"/>
    <x v="0"/>
    <s v="none"/>
    <s v="0.1850504487180471"/>
    <n v="26"/>
    <n v="59"/>
    <n v="71"/>
    <n v="70"/>
  </r>
  <r>
    <s v="female"/>
    <s v="group B"/>
    <x v="0"/>
    <x v="0"/>
    <s v="none"/>
    <s v="11.31114966452774"/>
    <n v="12"/>
    <n v="61"/>
    <n v="72"/>
    <n v="70"/>
  </r>
  <r>
    <s v="male"/>
    <s v="group A"/>
    <x v="3"/>
    <x v="0"/>
    <s v="none"/>
    <s v="1.1031318120357092"/>
    <n v="1"/>
    <n v="63"/>
    <n v="61"/>
    <n v="61"/>
  </r>
  <r>
    <s v="female"/>
    <s v="group C"/>
    <x v="1"/>
    <x v="1"/>
    <s v="completed"/>
    <s v="8.090390489164701"/>
    <n v="27"/>
    <n v="42"/>
    <n v="66"/>
    <n v="69"/>
  </r>
  <r>
    <s v="male"/>
    <s v="group D"/>
    <x v="1"/>
    <x v="1"/>
    <s v="none"/>
    <n v="12.578102899999999"/>
    <n v="1"/>
    <n v="59"/>
    <n v="62"/>
    <n v="61"/>
  </r>
  <r>
    <s v="female"/>
    <s v="group D"/>
    <x v="1"/>
    <x v="0"/>
    <s v="none"/>
    <s v="8.760673133952936"/>
    <n v="13"/>
    <n v="80"/>
    <n v="90"/>
    <n v="89"/>
  </r>
  <r>
    <s v="female"/>
    <s v="group B"/>
    <x v="4"/>
    <x v="0"/>
    <s v="none"/>
    <s v="6.069064328992124"/>
    <n v="29"/>
    <n v="58"/>
    <n v="62"/>
    <n v="59"/>
  </r>
  <r>
    <s v="male"/>
    <s v="group B"/>
    <x v="5"/>
    <x v="0"/>
    <s v="completed"/>
    <s v="12.684861819550852"/>
    <n v="20"/>
    <n v="85"/>
    <n v="84"/>
    <n v="78"/>
  </r>
  <r>
    <s v="female"/>
    <s v="group C"/>
    <x v="1"/>
    <x v="0"/>
    <s v="none"/>
    <s v="0.4500865485737293"/>
    <n v="25"/>
    <n v="52"/>
    <n v="58"/>
    <n v="58"/>
  </r>
  <r>
    <s v="female"/>
    <s v="group D"/>
    <x v="5"/>
    <x v="1"/>
    <s v="none"/>
    <s v="8.630162396952848"/>
    <n v="25"/>
    <n v="27"/>
    <n v="34"/>
    <n v="32"/>
  </r>
  <r>
    <s v="male"/>
    <s v="group C"/>
    <x v="1"/>
    <x v="0"/>
    <s v="none"/>
    <s v="13.552223641991883"/>
    <n v="12"/>
    <n v="59"/>
    <n v="60"/>
    <n v="58"/>
  </r>
  <r>
    <s v="male"/>
    <s v="group A"/>
    <x v="0"/>
    <x v="1"/>
    <s v="completed"/>
    <s v="18.434533389033227"/>
    <n v="29"/>
    <n v="49"/>
    <n v="58"/>
    <n v="60"/>
  </r>
  <r>
    <s v="male"/>
    <s v="group C"/>
    <x v="4"/>
    <x v="0"/>
    <s v="completed"/>
    <s v="14.72559797566843"/>
    <n v="12"/>
    <n v="69"/>
    <n v="58"/>
    <n v="53"/>
  </r>
  <r>
    <s v="male"/>
    <s v="group C"/>
    <x v="0"/>
    <x v="1"/>
    <s v="none"/>
    <s v="15.746976968194142"/>
    <n v="12"/>
    <n v="61"/>
    <n v="66"/>
    <n v="61"/>
  </r>
  <r>
    <s v="female"/>
    <s v="group A"/>
    <x v="5"/>
    <x v="1"/>
    <s v="none"/>
    <s v="15.839220289334314"/>
    <n v="7"/>
    <n v="44"/>
    <n v="64"/>
    <n v="58"/>
  </r>
  <r>
    <s v="female"/>
    <s v="group D"/>
    <x v="5"/>
    <x v="0"/>
    <s v="none"/>
    <s v="5.371142812412821"/>
    <n v="8"/>
    <n v="73"/>
    <n v="84"/>
    <n v="85"/>
  </r>
  <r>
    <s v="male"/>
    <s v="group E"/>
    <x v="1"/>
    <x v="0"/>
    <s v="none"/>
    <s v="4.2854361862051915"/>
    <n v="29"/>
    <n v="84"/>
    <n v="77"/>
    <n v="71"/>
  </r>
  <r>
    <s v="female"/>
    <s v="group C"/>
    <x v="1"/>
    <x v="1"/>
    <s v="completed"/>
    <s v="10.390037095299622"/>
    <n v="15"/>
    <n v="45"/>
    <n v="73"/>
    <n v="70"/>
  </r>
  <r>
    <s v="male"/>
    <s v="group D"/>
    <x v="5"/>
    <x v="0"/>
    <s v="none"/>
    <s v="9.916389452970781"/>
    <n v="3"/>
    <n v="74"/>
    <n v="74"/>
    <n v="72"/>
  </r>
  <r>
    <s v="female"/>
    <s v="group D"/>
    <x v="1"/>
    <x v="0"/>
    <s v="completed"/>
    <s v="10.508639966192845"/>
    <n v="15"/>
    <n v="82"/>
    <n v="97"/>
    <n v="96"/>
  </r>
  <r>
    <s v="female"/>
    <s v="group D"/>
    <x v="0"/>
    <x v="0"/>
    <s v="none"/>
    <s v="7.6991744527511425"/>
    <n v="16"/>
    <n v="59"/>
    <n v="70"/>
    <n v="73"/>
  </r>
  <r>
    <s v="male"/>
    <s v="group E"/>
    <x v="3"/>
    <x v="1"/>
    <s v="none"/>
    <s v="10.463162996352832"/>
    <n v="27"/>
    <n v="46"/>
    <n v="43"/>
    <n v="41"/>
  </r>
  <r>
    <s v="female"/>
    <s v="group D"/>
    <x v="5"/>
    <x v="0"/>
    <s v="none"/>
    <s v="16.560865715485043"/>
    <n v="12"/>
    <n v="80"/>
    <n v="90"/>
    <n v="82"/>
  </r>
  <r>
    <s v="female"/>
    <s v="group D"/>
    <x v="2"/>
    <x v="1"/>
    <s v="completed"/>
    <s v="19.719831443413188"/>
    <n v="8"/>
    <n v="85"/>
    <n v="95"/>
    <n v="100"/>
  </r>
  <r>
    <s v="female"/>
    <s v="group A"/>
    <x v="5"/>
    <x v="0"/>
    <s v="none"/>
    <s v="4.2835250547917365"/>
    <n v="3"/>
    <n v="71"/>
    <n v="83"/>
    <n v="77"/>
  </r>
  <r>
    <s v="male"/>
    <s v="group A"/>
    <x v="0"/>
    <x v="0"/>
    <s v="none"/>
    <s v="16.25856810787874"/>
    <n v="24"/>
    <n v="66"/>
    <n v="64"/>
    <n v="62"/>
  </r>
  <r>
    <s v="female"/>
    <s v="group B"/>
    <x v="3"/>
    <x v="0"/>
    <s v="none"/>
    <s v="13.075558459123126"/>
    <n v="6"/>
    <n v="80"/>
    <n v="86"/>
    <n v="83"/>
  </r>
  <r>
    <s v="male"/>
    <s v="group C"/>
    <x v="3"/>
    <x v="0"/>
    <s v="completed"/>
    <s v="4.637192277656967"/>
    <n v="25"/>
    <n v="87"/>
    <n v="100"/>
    <n v="95"/>
  </r>
  <r>
    <s v="male"/>
    <s v="group C"/>
    <x v="2"/>
    <x v="1"/>
    <s v="none"/>
    <s v="5.1332337979182885"/>
    <n v="21"/>
    <n v="79"/>
    <n v="81"/>
    <n v="71"/>
  </r>
  <r>
    <s v="female"/>
    <s v="group E"/>
    <x v="5"/>
    <x v="1"/>
    <s v="none"/>
    <s v="16.14955871303818"/>
    <n v="25"/>
    <n v="38"/>
    <n v="49"/>
    <n v="45"/>
  </r>
  <r>
    <s v="female"/>
    <s v="group A"/>
    <x v="5"/>
    <x v="1"/>
    <s v="none"/>
    <s v="16.263642945689224"/>
    <n v="19"/>
    <n v="38"/>
    <n v="43"/>
    <n v="43"/>
  </r>
  <r>
    <s v="female"/>
    <s v="group E"/>
    <x v="1"/>
    <x v="0"/>
    <s v="none"/>
    <s v="9.926455425687577"/>
    <n v="4"/>
    <n v="67"/>
    <n v="76"/>
    <n v="75"/>
  </r>
  <r>
    <s v="female"/>
    <s v="group E"/>
    <x v="0"/>
    <x v="0"/>
    <s v="none"/>
    <n v="12.653540700000001"/>
    <n v="7"/>
    <n v="64"/>
    <n v="73"/>
    <n v="70"/>
  </r>
  <r>
    <s v="female"/>
    <s v="group C"/>
    <x v="3"/>
    <x v="1"/>
    <s v="none"/>
    <s v="2.2078846849986755"/>
    <n v="21"/>
    <n v="57"/>
    <n v="78"/>
    <n v="67"/>
  </r>
  <r>
    <s v="female"/>
    <s v="group D"/>
    <x v="4"/>
    <x v="0"/>
    <s v="none"/>
    <s v="3.8516326491705577"/>
    <n v="0"/>
    <n v="62"/>
    <n v="64"/>
    <n v="64"/>
  </r>
  <r>
    <s v="male"/>
    <s v="group D"/>
    <x v="2"/>
    <x v="0"/>
    <s v="none"/>
    <s v="18.673578122658704"/>
    <n v="22"/>
    <n v="73"/>
    <n v="70"/>
    <n v="75"/>
  </r>
  <r>
    <s v="male"/>
    <s v="group E"/>
    <x v="5"/>
    <x v="1"/>
    <s v="completed"/>
    <s v="19.011879318622487"/>
    <n v="17"/>
    <n v="73"/>
    <n v="67"/>
    <n v="59"/>
  </r>
  <r>
    <s v="female"/>
    <s v="group D"/>
    <x v="1"/>
    <x v="0"/>
    <s v="none"/>
    <s v="6.711144033933143"/>
    <n v="19"/>
    <n v="77"/>
    <n v="68"/>
    <n v="77"/>
  </r>
  <r>
    <s v="male"/>
    <s v="group E"/>
    <x v="1"/>
    <x v="0"/>
    <s v="none"/>
    <s v="0.7672772271140227"/>
    <n v="24"/>
    <n v="76"/>
    <n v="67"/>
    <n v="67"/>
  </r>
  <r>
    <s v="male"/>
    <s v="group C"/>
    <x v="3"/>
    <x v="0"/>
    <s v="completed"/>
    <s v="18.31886007908105"/>
    <n v="18"/>
    <n v="57"/>
    <n v="54"/>
    <n v="56"/>
  </r>
  <r>
    <s v="female"/>
    <s v="group C"/>
    <x v="5"/>
    <x v="0"/>
    <s v="completed"/>
    <s v="4.023459342278015"/>
    <n v="25"/>
    <n v="65"/>
    <n v="74"/>
    <n v="77"/>
  </r>
  <r>
    <s v="male"/>
    <s v="group A"/>
    <x v="4"/>
    <x v="1"/>
    <s v="none"/>
    <s v="1.3281070692099473"/>
    <n v="7"/>
    <n v="48"/>
    <n v="45"/>
    <n v="41"/>
  </r>
  <r>
    <s v="female"/>
    <s v="group B"/>
    <x v="4"/>
    <x v="1"/>
    <s v="none"/>
    <s v="4.294702502431265"/>
    <n v="6"/>
    <n v="50"/>
    <n v="67"/>
    <n v="63"/>
  </r>
  <r>
    <s v="female"/>
    <s v="group C"/>
    <x v="3"/>
    <x v="0"/>
    <s v="none"/>
    <s v="7.830741992032584"/>
    <n v="27"/>
    <n v="85"/>
    <n v="89"/>
    <n v="95"/>
  </r>
  <r>
    <s v="male"/>
    <s v="group B"/>
    <x v="5"/>
    <x v="0"/>
    <s v="none"/>
    <s v="3.5217857588770785"/>
    <n v="22"/>
    <n v="74"/>
    <n v="63"/>
    <n v="57"/>
  </r>
  <r>
    <s v="male"/>
    <s v="group D"/>
    <x v="5"/>
    <x v="0"/>
    <s v="none"/>
    <s v="4.006796421928847"/>
    <n v="28"/>
    <n v="60"/>
    <n v="59"/>
    <n v="54"/>
  </r>
  <r>
    <s v="female"/>
    <s v="group C"/>
    <x v="5"/>
    <x v="0"/>
    <s v="completed"/>
    <s v="14.736336636594004"/>
    <n v="4"/>
    <n v="59"/>
    <n v="54"/>
    <n v="67"/>
  </r>
  <r>
    <s v="male"/>
    <s v="group A"/>
    <x v="1"/>
    <x v="0"/>
    <s v="none"/>
    <s v="5.690239194848883"/>
    <n v="21"/>
    <n v="53"/>
    <n v="43"/>
    <n v="43"/>
  </r>
  <r>
    <s v="female"/>
    <s v="group A"/>
    <x v="1"/>
    <x v="1"/>
    <s v="none"/>
    <s v="2.679497334995624"/>
    <n v="8"/>
    <n v="49"/>
    <n v="65"/>
    <n v="55"/>
  </r>
  <r>
    <s v="female"/>
    <s v="group D"/>
    <x v="4"/>
    <x v="0"/>
    <s v="completed"/>
    <s v="19.521411720638085"/>
    <n v="29"/>
    <n v="88"/>
    <n v="99"/>
    <n v="100"/>
  </r>
  <r>
    <s v="female"/>
    <s v="group C"/>
    <x v="4"/>
    <x v="0"/>
    <s v="none"/>
    <s v="5.180702882066943"/>
    <n v="21"/>
    <n v="54"/>
    <n v="59"/>
    <n v="62"/>
  </r>
  <r>
    <s v="female"/>
    <s v="group C"/>
    <x v="5"/>
    <x v="0"/>
    <s v="none"/>
    <s v="19.86327477866957"/>
    <n v="24"/>
    <n v="63"/>
    <n v="73"/>
    <n v="68"/>
  </r>
  <r>
    <s v="male"/>
    <s v="group B"/>
    <x v="3"/>
    <x v="0"/>
    <s v="completed"/>
    <s v="15.870748044576619"/>
    <n v="22"/>
    <n v="65"/>
    <n v="65"/>
    <n v="63"/>
  </r>
  <r>
    <s v="female"/>
    <s v="group B"/>
    <x v="3"/>
    <x v="0"/>
    <s v="none"/>
    <s v="13.274687213878769"/>
    <n v="3"/>
    <n v="82"/>
    <n v="80"/>
    <n v="77"/>
  </r>
  <r>
    <s v="female"/>
    <s v="group D"/>
    <x v="4"/>
    <x v="1"/>
    <s v="completed"/>
    <s v="9.247228944954784"/>
    <n v="21"/>
    <n v="52"/>
    <n v="57"/>
    <n v="56"/>
  </r>
  <r>
    <s v="male"/>
    <s v="group D"/>
    <x v="3"/>
    <x v="0"/>
    <s v="completed"/>
    <s v="7.186779810315745"/>
    <n v="17"/>
    <n v="87"/>
    <n v="84"/>
    <n v="85"/>
  </r>
  <r>
    <s v="female"/>
    <s v="group D"/>
    <x v="2"/>
    <x v="0"/>
    <s v="completed"/>
    <s v="7.560621244663903"/>
    <n v="12"/>
    <n v="70"/>
    <n v="71"/>
    <n v="74"/>
  </r>
  <r>
    <s v="male"/>
    <s v="group E"/>
    <x v="1"/>
    <x v="0"/>
    <s v="completed"/>
    <s v="11.934459802124342"/>
    <n v="17"/>
    <n v="84"/>
    <n v="83"/>
    <n v="78"/>
  </r>
  <r>
    <s v="male"/>
    <s v="group D"/>
    <x v="3"/>
    <x v="0"/>
    <s v="none"/>
    <s v="12.981612040377687"/>
    <n v="4"/>
    <n v="71"/>
    <n v="66"/>
    <n v="60"/>
  </r>
  <r>
    <s v="male"/>
    <s v="group B"/>
    <x v="5"/>
    <x v="0"/>
    <s v="completed"/>
    <s v="18.803596694584826"/>
    <n v="29"/>
    <n v="63"/>
    <n v="67"/>
    <n v="67"/>
  </r>
  <r>
    <s v="female"/>
    <s v="group C"/>
    <x v="0"/>
    <x v="1"/>
    <s v="completed"/>
    <s v="5.973443147750994"/>
    <n v="8"/>
    <n v="51"/>
    <n v="72"/>
    <n v="79"/>
  </r>
  <r>
    <s v="male"/>
    <s v="group E"/>
    <x v="4"/>
    <x v="0"/>
    <s v="none"/>
    <s v="2.089647906156693"/>
    <n v="6"/>
    <n v="84"/>
    <n v="73"/>
    <n v="69"/>
  </r>
  <r>
    <s v="male"/>
    <s v="group C"/>
    <x v="0"/>
    <x v="0"/>
    <s v="completed"/>
    <s v="10.138602321543889"/>
    <n v="15"/>
    <n v="71"/>
    <n v="74"/>
    <n v="68"/>
  </r>
  <r>
    <s v="male"/>
    <s v="group C"/>
    <x v="3"/>
    <x v="0"/>
    <s v="none"/>
    <s v="16.81570143878229"/>
    <n v="24"/>
    <n v="74"/>
    <n v="73"/>
    <n v="67"/>
  </r>
  <r>
    <s v="male"/>
    <s v="group D"/>
    <x v="1"/>
    <x v="0"/>
    <s v="none"/>
    <s v="19.510546580418037"/>
    <n v="28"/>
    <n v="68"/>
    <n v="59"/>
    <n v="62"/>
  </r>
  <r>
    <s v="male"/>
    <s v="group E"/>
    <x v="4"/>
    <x v="1"/>
    <s v="completed"/>
    <s v="11.124727880515454"/>
    <n v="12"/>
    <n v="57"/>
    <n v="56"/>
    <n v="54"/>
  </r>
  <r>
    <s v="female"/>
    <s v="group C"/>
    <x v="3"/>
    <x v="1"/>
    <s v="completed"/>
    <s v="16.931086449308058"/>
    <n v="26"/>
    <n v="82"/>
    <n v="93"/>
    <n v="93"/>
  </r>
  <r>
    <s v="female"/>
    <s v="group D"/>
    <x v="4"/>
    <x v="0"/>
    <s v="completed"/>
    <s v="4.568517046168403"/>
    <n v="28"/>
    <n v="57"/>
    <n v="58"/>
    <n v="64"/>
  </r>
  <r>
    <s v="female"/>
    <s v="group D"/>
    <x v="2"/>
    <x v="1"/>
    <s v="completed"/>
    <s v="7.770622960120841"/>
    <n v="15"/>
    <n v="47"/>
    <n v="58"/>
    <n v="67"/>
  </r>
  <r>
    <s v="female"/>
    <s v="group A"/>
    <x v="5"/>
    <x v="0"/>
    <s v="completed"/>
    <s v="12.120276638721625"/>
    <n v="20"/>
    <n v="59"/>
    <n v="85"/>
    <n v="80"/>
  </r>
  <r>
    <s v="male"/>
    <s v="group B"/>
    <x v="1"/>
    <x v="1"/>
    <s v="none"/>
    <s v="9.727442016502952"/>
    <n v="6"/>
    <n v="41"/>
    <n v="39"/>
    <n v="34"/>
  </r>
  <r>
    <s v="female"/>
    <s v="group C"/>
    <x v="1"/>
    <x v="1"/>
    <s v="none"/>
    <s v="1.0786516568174243"/>
    <n v="8"/>
    <n v="62"/>
    <n v="67"/>
    <n v="62"/>
  </r>
  <r>
    <s v="male"/>
    <s v="group C"/>
    <x v="0"/>
    <x v="0"/>
    <s v="none"/>
    <s v="15.601680474699295"/>
    <n v="10"/>
    <n v="86"/>
    <n v="83"/>
    <n v="86"/>
  </r>
  <r>
    <s v="male"/>
    <s v="group C"/>
    <x v="5"/>
    <x v="1"/>
    <s v="none"/>
    <s v="4.121475598743505"/>
    <n v="14"/>
    <n v="69"/>
    <n v="71"/>
    <n v="65"/>
  </r>
  <r>
    <s v="male"/>
    <s v="group A"/>
    <x v="5"/>
    <x v="1"/>
    <s v="none"/>
    <s v="6.667356762331256"/>
    <n v="16"/>
    <n v="65"/>
    <n v="59"/>
    <n v="53"/>
  </r>
  <r>
    <s v="male"/>
    <s v="group C"/>
    <x v="5"/>
    <x v="1"/>
    <s v="none"/>
    <s v="7.202842282778761"/>
    <n v="1"/>
    <n v="68"/>
    <n v="63"/>
    <n v="54"/>
  </r>
  <r>
    <s v="male"/>
    <s v="group C"/>
    <x v="3"/>
    <x v="1"/>
    <s v="none"/>
    <s v="5.494100656142873"/>
    <n v="1"/>
    <n v="64"/>
    <n v="66"/>
    <n v="59"/>
  </r>
  <r>
    <s v="female"/>
    <s v="group C"/>
    <x v="4"/>
    <x v="0"/>
    <s v="none"/>
    <s v="9.980723458081627"/>
    <n v="28"/>
    <n v="61"/>
    <n v="72"/>
    <n v="70"/>
  </r>
  <r>
    <s v="male"/>
    <s v="group C"/>
    <x v="4"/>
    <x v="0"/>
    <s v="none"/>
    <s v="12.229897054383983"/>
    <n v="26"/>
    <n v="61"/>
    <n v="56"/>
    <n v="55"/>
  </r>
  <r>
    <s v="female"/>
    <s v="group A"/>
    <x v="5"/>
    <x v="1"/>
    <s v="none"/>
    <s v="11.426400308662055"/>
    <n v="3"/>
    <n v="47"/>
    <n v="59"/>
    <n v="50"/>
  </r>
  <r>
    <s v="male"/>
    <s v="group C"/>
    <x v="5"/>
    <x v="0"/>
    <s v="none"/>
    <n v="8.5000482819999998"/>
    <n v="29"/>
    <n v="73"/>
    <n v="66"/>
    <n v="66"/>
  </r>
  <r>
    <s v="male"/>
    <s v="group C"/>
    <x v="1"/>
    <x v="1"/>
    <s v="completed"/>
    <s v="4.074347865553332"/>
    <n v="17"/>
    <n v="50"/>
    <n v="48"/>
    <n v="53"/>
  </r>
  <r>
    <s v="male"/>
    <s v="group D"/>
    <x v="3"/>
    <x v="0"/>
    <s v="none"/>
    <n v="6.5994979059999999"/>
    <n v="19"/>
    <n v="75"/>
    <n v="68"/>
    <n v="64"/>
  </r>
  <r>
    <s v="male"/>
    <s v="group D"/>
    <x v="3"/>
    <x v="1"/>
    <s v="none"/>
    <s v="14.666558174337245"/>
    <n v="27"/>
    <n v="75"/>
    <n v="66"/>
    <n v="73"/>
  </r>
  <r>
    <s v="male"/>
    <s v="group C"/>
    <x v="4"/>
    <x v="0"/>
    <s v="none"/>
    <s v="15.108745450311623"/>
    <n v="15"/>
    <n v="70"/>
    <n v="56"/>
    <n v="51"/>
  </r>
  <r>
    <s v="male"/>
    <s v="group D"/>
    <x v="5"/>
    <x v="0"/>
    <s v="completed"/>
    <s v="12.898126477298339"/>
    <n v="20"/>
    <n v="89"/>
    <n v="88"/>
    <n v="82"/>
  </r>
  <r>
    <s v="female"/>
    <s v="group C"/>
    <x v="1"/>
    <x v="0"/>
    <s v="completed"/>
    <s v="4.225258338763929"/>
    <n v="15"/>
    <n v="67"/>
    <n v="81"/>
    <n v="79"/>
  </r>
  <r>
    <s v="female"/>
    <s v="group D"/>
    <x v="4"/>
    <x v="0"/>
    <s v="none"/>
    <n v="13.765859969999999"/>
    <n v="27"/>
    <n v="78"/>
    <n v="81"/>
    <n v="80"/>
  </r>
  <r>
    <s v="female"/>
    <s v="group A"/>
    <x v="5"/>
    <x v="1"/>
    <s v="none"/>
    <s v="5.401169322031114"/>
    <n v="11"/>
    <n v="59"/>
    <n v="73"/>
    <n v="69"/>
  </r>
  <r>
    <s v="female"/>
    <s v="group B"/>
    <x v="3"/>
    <x v="0"/>
    <s v="none"/>
    <s v="10.229350800852348"/>
    <n v="21"/>
    <n v="73"/>
    <n v="83"/>
    <n v="76"/>
  </r>
  <r>
    <s v="male"/>
    <s v="group A"/>
    <x v="5"/>
    <x v="1"/>
    <s v="none"/>
    <s v="6.718923067578677"/>
    <n v="15"/>
    <n v="79"/>
    <n v="82"/>
    <n v="73"/>
  </r>
  <r>
    <s v="female"/>
    <s v="group C"/>
    <x v="5"/>
    <x v="0"/>
    <s v="completed"/>
    <s v="3.962614836471541"/>
    <n v="3"/>
    <n v="67"/>
    <n v="74"/>
    <n v="77"/>
  </r>
  <r>
    <s v="male"/>
    <s v="group D"/>
    <x v="1"/>
    <x v="1"/>
    <s v="none"/>
    <s v="1.5110898752553914"/>
    <n v="3"/>
    <n v="69"/>
    <n v="66"/>
    <n v="60"/>
  </r>
  <r>
    <s v="male"/>
    <s v="group C"/>
    <x v="4"/>
    <x v="0"/>
    <s v="completed"/>
    <s v="10.552489136774156"/>
    <n v="28"/>
    <n v="86"/>
    <n v="81"/>
    <n v="80"/>
  </r>
  <r>
    <s v="male"/>
    <s v="group B"/>
    <x v="4"/>
    <x v="0"/>
    <s v="none"/>
    <s v="17.00635416315198"/>
    <n v="11"/>
    <n v="47"/>
    <n v="46"/>
    <n v="42"/>
  </r>
  <r>
    <s v="male"/>
    <s v="group B"/>
    <x v="3"/>
    <x v="0"/>
    <s v="none"/>
    <s v="17.18649902140952"/>
    <n v="5"/>
    <n v="81"/>
    <n v="73"/>
    <n v="72"/>
  </r>
  <r>
    <s v="female"/>
    <s v="group C"/>
    <x v="1"/>
    <x v="1"/>
    <s v="completed"/>
    <s v="16.06266177872492"/>
    <n v="14"/>
    <n v="64"/>
    <n v="85"/>
    <n v="85"/>
  </r>
  <r>
    <s v="female"/>
    <s v="group E"/>
    <x v="1"/>
    <x v="0"/>
    <s v="none"/>
    <s v="11.411228092492129"/>
    <n v="14"/>
    <n v="100"/>
    <n v="92"/>
    <n v="97"/>
  </r>
  <r>
    <s v="female"/>
    <s v="group C"/>
    <x v="3"/>
    <x v="1"/>
    <s v="none"/>
    <s v="2.0589228940057236"/>
    <n v="29"/>
    <n v="65"/>
    <n v="77"/>
    <n v="74"/>
  </r>
  <r>
    <s v="male"/>
    <s v="group C"/>
    <x v="1"/>
    <x v="1"/>
    <s v="none"/>
    <n v="6.153101747"/>
    <n v="12"/>
    <n v="65"/>
    <n v="58"/>
    <n v="49"/>
  </r>
  <r>
    <s v="female"/>
    <s v="group C"/>
    <x v="3"/>
    <x v="1"/>
    <s v="none"/>
    <s v="9.864949860519715"/>
    <n v="16"/>
    <n v="53"/>
    <n v="61"/>
    <n v="62"/>
  </r>
  <r>
    <s v="male"/>
    <s v="group C"/>
    <x v="0"/>
    <x v="1"/>
    <s v="none"/>
    <s v="1.2014633670996488"/>
    <n v="6"/>
    <n v="37"/>
    <n v="56"/>
    <n v="47"/>
  </r>
  <r>
    <s v="female"/>
    <s v="group D"/>
    <x v="0"/>
    <x v="0"/>
    <s v="none"/>
    <s v="16.78816075218544"/>
    <n v="15"/>
    <n v="79"/>
    <n v="89"/>
    <n v="89"/>
  </r>
  <r>
    <s v="male"/>
    <s v="group D"/>
    <x v="3"/>
    <x v="1"/>
    <s v="none"/>
    <s v="14.668036986698114"/>
    <n v="26"/>
    <n v="53"/>
    <n v="54"/>
    <n v="48"/>
  </r>
  <r>
    <s v="female"/>
    <s v="group E"/>
    <x v="0"/>
    <x v="0"/>
    <s v="none"/>
    <s v="13.964309069889456"/>
    <n v="22"/>
    <n v="100"/>
    <n v="100"/>
    <n v="100"/>
  </r>
  <r>
    <s v="male"/>
    <s v="group B"/>
    <x v="4"/>
    <x v="0"/>
    <s v="completed"/>
    <s v="0.6164923739874051"/>
    <n v="19"/>
    <n v="72"/>
    <n v="65"/>
    <n v="68"/>
  </r>
  <r>
    <s v="male"/>
    <s v="group C"/>
    <x v="0"/>
    <x v="1"/>
    <s v="none"/>
    <s v="11.301445660733872"/>
    <n v="24"/>
    <n v="53"/>
    <n v="58"/>
    <n v="55"/>
  </r>
  <r>
    <s v="male"/>
    <s v="group B"/>
    <x v="1"/>
    <x v="1"/>
    <s v="none"/>
    <s v="12.733858287158835"/>
    <n v="10"/>
    <n v="54"/>
    <n v="54"/>
    <n v="45"/>
  </r>
  <r>
    <s v="female"/>
    <s v="group E"/>
    <x v="1"/>
    <x v="0"/>
    <s v="none"/>
    <s v="1.0012905418658868"/>
    <n v="0"/>
    <n v="71"/>
    <n v="70"/>
    <n v="76"/>
  </r>
  <r>
    <s v="female"/>
    <s v="group C"/>
    <x v="1"/>
    <x v="1"/>
    <s v="none"/>
    <s v="3.278634419064055"/>
    <n v="4"/>
    <n v="77"/>
    <n v="90"/>
    <n v="91"/>
  </r>
  <r>
    <s v="male"/>
    <s v="group A"/>
    <x v="0"/>
    <x v="0"/>
    <s v="completed"/>
    <s v="1.599649655935096"/>
    <n v="7"/>
    <n v="75"/>
    <n v="58"/>
    <n v="62"/>
  </r>
  <r>
    <s v="female"/>
    <s v="group C"/>
    <x v="1"/>
    <x v="0"/>
    <s v="none"/>
    <s v="7.119367816644731"/>
    <n v="27"/>
    <n v="84"/>
    <n v="87"/>
    <n v="91"/>
  </r>
  <r>
    <s v="female"/>
    <s v="group D"/>
    <x v="3"/>
    <x v="1"/>
    <s v="none"/>
    <s v="13.122921836948844"/>
    <n v="14"/>
    <n v="26"/>
    <n v="31"/>
    <n v="38"/>
  </r>
  <r>
    <s v="male"/>
    <s v="group A"/>
    <x v="4"/>
    <x v="1"/>
    <s v="completed"/>
    <s v="16.051214963032557"/>
    <n v="13"/>
    <n v="72"/>
    <n v="67"/>
    <n v="65"/>
  </r>
  <r>
    <s v="female"/>
    <s v="group A"/>
    <x v="4"/>
    <x v="1"/>
    <s v="completed"/>
    <s v="10.592890540702669"/>
    <n v="22"/>
    <n v="77"/>
    <n v="88"/>
    <n v="85"/>
  </r>
  <r>
    <s v="male"/>
    <s v="group C"/>
    <x v="1"/>
    <x v="0"/>
    <s v="none"/>
    <s v="4.741407823483561"/>
    <n v="6"/>
    <n v="91"/>
    <n v="74"/>
    <n v="76"/>
  </r>
  <r>
    <s v="female"/>
    <s v="group C"/>
    <x v="3"/>
    <x v="0"/>
    <s v="completed"/>
    <s v="2.261994788476449"/>
    <n v="18"/>
    <n v="83"/>
    <n v="85"/>
    <n v="90"/>
  </r>
  <r>
    <s v="female"/>
    <s v="group C"/>
    <x v="4"/>
    <x v="0"/>
    <s v="none"/>
    <s v="0.8976203294543605"/>
    <n v="11"/>
    <n v="63"/>
    <n v="69"/>
    <n v="74"/>
  </r>
  <r>
    <s v="female"/>
    <s v="group C"/>
    <x v="3"/>
    <x v="0"/>
    <s v="completed"/>
    <s v="10.674508273428888"/>
    <n v="18"/>
    <n v="68"/>
    <n v="86"/>
    <n v="84"/>
  </r>
  <r>
    <s v="female"/>
    <s v="group D"/>
    <x v="5"/>
    <x v="0"/>
    <s v="none"/>
    <s v="10.050952134440463"/>
    <n v="29"/>
    <n v="59"/>
    <n v="67"/>
    <n v="61"/>
  </r>
  <r>
    <s v="female"/>
    <s v="group B"/>
    <x v="3"/>
    <x v="0"/>
    <s v="completed"/>
    <n v="6.4580213720000001"/>
    <n v="17"/>
    <n v="90"/>
    <n v="90"/>
    <n v="91"/>
  </r>
  <r>
    <s v="female"/>
    <s v="group D"/>
    <x v="0"/>
    <x v="0"/>
    <s v="completed"/>
    <s v="9.812271517963982"/>
    <n v="1"/>
    <n v="71"/>
    <n v="76"/>
    <n v="83"/>
  </r>
  <r>
    <s v="male"/>
    <s v="group E"/>
    <x v="0"/>
    <x v="0"/>
    <s v="completed"/>
    <s v="16.253860867515648"/>
    <n v="19"/>
    <n v="76"/>
    <n v="62"/>
    <n v="66"/>
  </r>
  <r>
    <s v="male"/>
    <s v="group D"/>
    <x v="3"/>
    <x v="0"/>
    <s v="none"/>
    <s v="2.5436237843377385"/>
    <n v="14"/>
    <n v="80"/>
    <n v="68"/>
    <n v="72"/>
  </r>
  <r>
    <s v="female"/>
    <s v="group D"/>
    <x v="2"/>
    <x v="0"/>
    <s v="none"/>
    <s v="16.405859212183547"/>
    <n v="16"/>
    <n v="55"/>
    <n v="64"/>
    <n v="70"/>
  </r>
  <r>
    <s v="male"/>
    <s v="group E"/>
    <x v="3"/>
    <x v="0"/>
    <s v="none"/>
    <s v="1.7704463042945684"/>
    <n v="20"/>
    <n v="76"/>
    <n v="71"/>
    <n v="67"/>
  </r>
  <r>
    <s v="male"/>
    <s v="group B"/>
    <x v="4"/>
    <x v="0"/>
    <s v="completed"/>
    <s v="3.165661013987473"/>
    <n v="27"/>
    <n v="73"/>
    <n v="71"/>
    <n v="68"/>
  </r>
  <r>
    <s v="female"/>
    <s v="group D"/>
    <x v="3"/>
    <x v="1"/>
    <s v="none"/>
    <s v="14.408321381846857"/>
    <n v="26"/>
    <n v="52"/>
    <n v="59"/>
    <n v="56"/>
  </r>
  <r>
    <s v="male"/>
    <s v="group C"/>
    <x v="1"/>
    <x v="1"/>
    <s v="none"/>
    <n v="15.958863790000001"/>
    <n v="16"/>
    <n v="68"/>
    <n v="68"/>
    <n v="61"/>
  </r>
  <r>
    <s v="male"/>
    <s v="group A"/>
    <x v="4"/>
    <x v="0"/>
    <s v="none"/>
    <s v="5.048276259531203"/>
    <n v="15"/>
    <n v="59"/>
    <n v="52"/>
    <n v="46"/>
  </r>
  <r>
    <s v="female"/>
    <s v="group B"/>
    <x v="3"/>
    <x v="0"/>
    <s v="none"/>
    <s v="1.126665555984796"/>
    <n v="24"/>
    <n v="49"/>
    <n v="52"/>
    <n v="54"/>
  </r>
  <r>
    <s v="male"/>
    <s v="group C"/>
    <x v="4"/>
    <x v="0"/>
    <s v="none"/>
    <s v="14.96750498856365"/>
    <n v="5"/>
    <n v="70"/>
    <n v="74"/>
    <n v="71"/>
  </r>
  <r>
    <s v="male"/>
    <s v="group D"/>
    <x v="1"/>
    <x v="1"/>
    <s v="none"/>
    <s v="0.6959839973670023"/>
    <n v="11"/>
    <n v="61"/>
    <n v="47"/>
    <n v="56"/>
  </r>
  <r>
    <s v="female"/>
    <s v="group C"/>
    <x v="3"/>
    <x v="1"/>
    <s v="none"/>
    <s v="15.101364082632502"/>
    <n v="15"/>
    <n v="60"/>
    <n v="75"/>
    <n v="74"/>
  </r>
  <r>
    <s v="male"/>
    <s v="group B"/>
    <x v="5"/>
    <x v="0"/>
    <s v="completed"/>
    <s v="9.602698792767463"/>
    <n v="23"/>
    <n v="64"/>
    <n v="53"/>
    <n v="57"/>
  </r>
  <r>
    <s v="male"/>
    <s v="group A"/>
    <x v="3"/>
    <x v="1"/>
    <s v="completed"/>
    <s v="4.838554562384731"/>
    <n v="23"/>
    <n v="79"/>
    <n v="82"/>
    <n v="82"/>
  </r>
  <r>
    <s v="female"/>
    <s v="group A"/>
    <x v="3"/>
    <x v="1"/>
    <s v="none"/>
    <s v="16.359695421544107"/>
    <n v="10"/>
    <n v="65"/>
    <n v="85"/>
    <n v="76"/>
  </r>
  <r>
    <s v="female"/>
    <s v="group C"/>
    <x v="3"/>
    <x v="0"/>
    <s v="none"/>
    <s v="9.855626917299114"/>
    <n v="16"/>
    <n v="64"/>
    <n v="64"/>
    <n v="70"/>
  </r>
  <r>
    <s v="female"/>
    <s v="group C"/>
    <x v="1"/>
    <x v="0"/>
    <s v="none"/>
    <s v="5.427627901591691"/>
    <n v="27"/>
    <n v="83"/>
    <n v="83"/>
    <n v="90"/>
  </r>
  <r>
    <s v="female"/>
    <s v="group C"/>
    <x v="0"/>
    <x v="0"/>
    <s v="none"/>
    <s v="14.287751240745848"/>
    <n v="6"/>
    <n v="81"/>
    <n v="88"/>
    <n v="90"/>
  </r>
  <r>
    <s v="female"/>
    <s v="group B"/>
    <x v="4"/>
    <x v="0"/>
    <s v="none"/>
    <s v="16.926360255617475"/>
    <n v="6"/>
    <n v="54"/>
    <n v="64"/>
    <n v="68"/>
  </r>
  <r>
    <s v="male"/>
    <s v="group D"/>
    <x v="4"/>
    <x v="0"/>
    <s v="completed"/>
    <s v="4.784221760684375"/>
    <n v="15"/>
    <n v="68"/>
    <n v="64"/>
    <n v="66"/>
  </r>
  <r>
    <s v="female"/>
    <s v="group C"/>
    <x v="1"/>
    <x v="0"/>
    <s v="none"/>
    <n v="17.1577837"/>
    <n v="1"/>
    <n v="54"/>
    <n v="48"/>
    <n v="52"/>
  </r>
  <r>
    <s v="female"/>
    <s v="group D"/>
    <x v="1"/>
    <x v="1"/>
    <s v="completed"/>
    <s v="18.276290452498884"/>
    <n v="12"/>
    <n v="59"/>
    <n v="78"/>
    <n v="76"/>
  </r>
  <r>
    <s v="female"/>
    <s v="group B"/>
    <x v="5"/>
    <x v="0"/>
    <s v="none"/>
    <s v="1.5654896145975172"/>
    <n v="4"/>
    <n v="66"/>
    <n v="69"/>
    <n v="68"/>
  </r>
  <r>
    <s v="male"/>
    <s v="group E"/>
    <x v="1"/>
    <x v="0"/>
    <s v="none"/>
    <s v="1.9011307366512886"/>
    <n v="7"/>
    <n v="76"/>
    <n v="71"/>
    <n v="72"/>
  </r>
  <r>
    <s v="female"/>
    <s v="group D"/>
    <x v="2"/>
    <x v="0"/>
    <s v="none"/>
    <s v="9.772098517559694"/>
    <n v="2"/>
    <n v="74"/>
    <n v="79"/>
    <n v="82"/>
  </r>
  <r>
    <s v="female"/>
    <s v="group B"/>
    <x v="3"/>
    <x v="0"/>
    <s v="completed"/>
    <s v="17.531962376700374"/>
    <n v="24"/>
    <n v="94"/>
    <n v="87"/>
    <n v="92"/>
  </r>
  <r>
    <s v="male"/>
    <s v="group C"/>
    <x v="1"/>
    <x v="1"/>
    <s v="none"/>
    <s v="15.827054473046688"/>
    <n v="28"/>
    <n v="63"/>
    <n v="61"/>
    <n v="54"/>
  </r>
  <r>
    <s v="female"/>
    <s v="group E"/>
    <x v="3"/>
    <x v="0"/>
    <s v="completed"/>
    <s v="6.588333147488859"/>
    <n v="18"/>
    <n v="95"/>
    <n v="89"/>
    <n v="92"/>
  </r>
  <r>
    <s v="female"/>
    <s v="group D"/>
    <x v="2"/>
    <x v="1"/>
    <s v="none"/>
    <s v="17.782610714097167"/>
    <n v="26"/>
    <n v="40"/>
    <n v="59"/>
    <n v="54"/>
  </r>
  <r>
    <s v="female"/>
    <s v="group B"/>
    <x v="5"/>
    <x v="0"/>
    <s v="none"/>
    <s v="10.847731203808774"/>
    <n v="5"/>
    <n v="82"/>
    <n v="82"/>
    <n v="80"/>
  </r>
  <r>
    <s v="male"/>
    <s v="group A"/>
    <x v="4"/>
    <x v="0"/>
    <s v="none"/>
    <s v="12.635496873055107"/>
    <n v="0"/>
    <n v="68"/>
    <n v="70"/>
    <n v="66"/>
  </r>
  <r>
    <s v="male"/>
    <s v="group B"/>
    <x v="0"/>
    <x v="1"/>
    <s v="none"/>
    <s v="19.765242302863737"/>
    <n v="1"/>
    <n v="55"/>
    <n v="59"/>
    <n v="54"/>
  </r>
  <r>
    <s v="male"/>
    <s v="group C"/>
    <x v="2"/>
    <x v="0"/>
    <s v="none"/>
    <s v="11.156202514708689"/>
    <n v="17"/>
    <n v="79"/>
    <n v="78"/>
    <n v="77"/>
  </r>
  <r>
    <s v="female"/>
    <s v="group C"/>
    <x v="0"/>
    <x v="0"/>
    <s v="none"/>
    <s v="16.20606598246665"/>
    <n v="0"/>
    <n v="86"/>
    <n v="92"/>
    <n v="87"/>
  </r>
  <r>
    <s v="male"/>
    <s v="group D"/>
    <x v="1"/>
    <x v="0"/>
    <s v="none"/>
    <s v="1.0809525469945314"/>
    <n v="16"/>
    <n v="76"/>
    <n v="71"/>
    <n v="73"/>
  </r>
  <r>
    <s v="male"/>
    <s v="group A"/>
    <x v="5"/>
    <x v="0"/>
    <s v="none"/>
    <s v="5.288085958592907"/>
    <n v="19"/>
    <n v="64"/>
    <n v="50"/>
    <n v="43"/>
  </r>
  <r>
    <s v="male"/>
    <s v="group D"/>
    <x v="5"/>
    <x v="1"/>
    <s v="none"/>
    <s v="0.10648381142128516"/>
    <n v="14"/>
    <n v="62"/>
    <n v="49"/>
    <n v="52"/>
  </r>
  <r>
    <s v="female"/>
    <s v="group B"/>
    <x v="5"/>
    <x v="0"/>
    <s v="completed"/>
    <s v="8.148105432226975"/>
    <n v="16"/>
    <n v="54"/>
    <n v="61"/>
    <n v="62"/>
  </r>
  <r>
    <s v="female"/>
    <s v="group B"/>
    <x v="2"/>
    <x v="1"/>
    <s v="completed"/>
    <s v="1.5598773281881817"/>
    <n v="15"/>
    <n v="77"/>
    <n v="97"/>
    <n v="94"/>
  </r>
  <r>
    <s v="female"/>
    <s v="group C"/>
    <x v="5"/>
    <x v="0"/>
    <s v="completed"/>
    <s v="14.635521900753448"/>
    <n v="6"/>
    <n v="76"/>
    <n v="87"/>
    <n v="85"/>
  </r>
  <r>
    <s v="female"/>
    <s v="group D"/>
    <x v="1"/>
    <x v="0"/>
    <s v="none"/>
    <n v="8.4179305749999997"/>
    <n v="23"/>
    <n v="74"/>
    <n v="89"/>
    <n v="84"/>
  </r>
  <r>
    <s v="female"/>
    <s v="group E"/>
    <x v="1"/>
    <x v="0"/>
    <s v="completed"/>
    <s v="5.783565077128863"/>
    <n v="10"/>
    <n v="66"/>
    <n v="74"/>
    <n v="73"/>
  </r>
  <r>
    <s v="female"/>
    <s v="group D"/>
    <x v="5"/>
    <x v="0"/>
    <s v="completed"/>
    <s v="9.423451187562836"/>
    <n v="8"/>
    <n v="66"/>
    <n v="78"/>
    <n v="78"/>
  </r>
  <r>
    <s v="female"/>
    <s v="group B"/>
    <x v="4"/>
    <x v="1"/>
    <s v="completed"/>
    <s v="3.3766721330514016"/>
    <n v="27"/>
    <n v="67"/>
    <n v="78"/>
    <n v="79"/>
  </r>
  <r>
    <s v="male"/>
    <s v="group D"/>
    <x v="1"/>
    <x v="0"/>
    <s v="none"/>
    <s v="5.188983421361526"/>
    <n v="2"/>
    <n v="71"/>
    <n v="49"/>
    <n v="52"/>
  </r>
  <r>
    <s v="female"/>
    <s v="group C"/>
    <x v="3"/>
    <x v="0"/>
    <s v="none"/>
    <n v="0.81570026900000003"/>
    <n v="1"/>
    <n v="91"/>
    <n v="86"/>
    <n v="84"/>
  </r>
  <r>
    <s v="male"/>
    <s v="group D"/>
    <x v="0"/>
    <x v="0"/>
    <s v="none"/>
    <n v="6.3451043289999998"/>
    <n v="7"/>
    <n v="69"/>
    <n v="58"/>
    <n v="57"/>
  </r>
  <r>
    <s v="male"/>
    <s v="group C"/>
    <x v="2"/>
    <x v="1"/>
    <s v="none"/>
    <s v="3.1657251211819615"/>
    <n v="1"/>
    <n v="54"/>
    <n v="59"/>
    <n v="50"/>
  </r>
  <r>
    <s v="male"/>
    <s v="group C"/>
    <x v="4"/>
    <x v="0"/>
    <s v="completed"/>
    <s v="8.970850987369188"/>
    <n v="24"/>
    <n v="53"/>
    <n v="52"/>
    <n v="49"/>
  </r>
  <r>
    <s v="male"/>
    <s v="group E"/>
    <x v="1"/>
    <x v="0"/>
    <s v="none"/>
    <s v="10.723845585644083"/>
    <n v="3"/>
    <n v="68"/>
    <n v="60"/>
    <n v="59"/>
  </r>
  <r>
    <s v="male"/>
    <s v="group C"/>
    <x v="5"/>
    <x v="1"/>
    <s v="completed"/>
    <s v="3.6243608722723453"/>
    <n v="15"/>
    <n v="56"/>
    <n v="61"/>
    <n v="60"/>
  </r>
  <r>
    <s v="female"/>
    <s v="group C"/>
    <x v="4"/>
    <x v="1"/>
    <s v="none"/>
    <s v="1.4835239118862442"/>
    <n v="12"/>
    <n v="36"/>
    <n v="53"/>
    <n v="43"/>
  </r>
  <r>
    <s v="female"/>
    <s v="group D"/>
    <x v="0"/>
    <x v="1"/>
    <s v="none"/>
    <s v="9.030940456348489"/>
    <n v="16"/>
    <n v="29"/>
    <n v="41"/>
    <n v="47"/>
  </r>
  <r>
    <s v="female"/>
    <s v="group C"/>
    <x v="3"/>
    <x v="0"/>
    <s v="none"/>
    <s v="14.132850434978678"/>
    <n v="14"/>
    <n v="62"/>
    <n v="74"/>
    <n v="70"/>
  </r>
  <r>
    <s v="female"/>
    <s v="group C"/>
    <x v="3"/>
    <x v="0"/>
    <s v="completed"/>
    <n v="7.5639269909999998"/>
    <n v="4"/>
    <n v="68"/>
    <n v="67"/>
    <n v="73"/>
  </r>
  <r>
    <s v="female"/>
    <s v="group C"/>
    <x v="5"/>
    <x v="0"/>
    <s v="none"/>
    <s v="11.301475829602106"/>
    <n v="7"/>
    <n v="47"/>
    <n v="54"/>
    <n v="53"/>
  </r>
  <r>
    <s v="male"/>
    <s v="group E"/>
    <x v="3"/>
    <x v="0"/>
    <s v="completed"/>
    <s v="6.544423663229077"/>
    <n v="23"/>
    <n v="62"/>
    <n v="61"/>
    <n v="58"/>
  </r>
  <r>
    <s v="female"/>
    <s v="group E"/>
    <x v="3"/>
    <x v="0"/>
    <s v="completed"/>
    <s v="9.110033904384405"/>
    <n v="25"/>
    <n v="79"/>
    <n v="88"/>
    <n v="94"/>
  </r>
  <r>
    <s v="male"/>
    <s v="group B"/>
    <x v="4"/>
    <x v="0"/>
    <s v="completed"/>
    <s v="16.02704116540497"/>
    <n v="23"/>
    <n v="73"/>
    <n v="69"/>
    <n v="68"/>
  </r>
  <r>
    <s v="female"/>
    <s v="group C"/>
    <x v="0"/>
    <x v="1"/>
    <s v="completed"/>
    <s v="11.564595723390275"/>
    <n v="19"/>
    <n v="66"/>
    <n v="83"/>
    <n v="83"/>
  </r>
  <r>
    <s v="male"/>
    <s v="group C"/>
    <x v="3"/>
    <x v="0"/>
    <s v="completed"/>
    <s v="4.562007558047703"/>
    <n v="1"/>
    <n v="51"/>
    <n v="60"/>
    <n v="58"/>
  </r>
  <r>
    <s v="female"/>
    <s v="group D"/>
    <x v="4"/>
    <x v="0"/>
    <s v="none"/>
    <s v="13.546836921630327"/>
    <n v="22"/>
    <n v="51"/>
    <n v="66"/>
    <n v="62"/>
  </r>
  <r>
    <s v="male"/>
    <s v="group E"/>
    <x v="0"/>
    <x v="0"/>
    <s v="completed"/>
    <s v="12.312487933662533"/>
    <n v="5"/>
    <n v="85"/>
    <n v="66"/>
    <n v="71"/>
  </r>
  <r>
    <s v="male"/>
    <s v="group A"/>
    <x v="3"/>
    <x v="0"/>
    <s v="completed"/>
    <s v="14.712853200227304"/>
    <n v="28"/>
    <n v="97"/>
    <n v="92"/>
    <n v="86"/>
  </r>
  <r>
    <s v="male"/>
    <s v="group C"/>
    <x v="4"/>
    <x v="0"/>
    <s v="completed"/>
    <s v="17.376021916356407"/>
    <n v="12"/>
    <n v="75"/>
    <n v="69"/>
    <n v="68"/>
  </r>
  <r>
    <s v="male"/>
    <s v="group D"/>
    <x v="3"/>
    <x v="1"/>
    <s v="completed"/>
    <s v="9.144608392390888"/>
    <n v="11"/>
    <n v="79"/>
    <n v="82"/>
    <n v="80"/>
  </r>
  <r>
    <s v="female"/>
    <s v="group C"/>
    <x v="3"/>
    <x v="0"/>
    <s v="none"/>
    <s v="9.005303869932764"/>
    <n v="1"/>
    <n v="81"/>
    <n v="77"/>
    <n v="79"/>
  </r>
  <r>
    <s v="female"/>
    <s v="group D"/>
    <x v="3"/>
    <x v="0"/>
    <s v="none"/>
    <s v="17.53120981577435"/>
    <n v="25"/>
    <n v="82"/>
    <n v="95"/>
    <n v="89"/>
  </r>
  <r>
    <s v="female"/>
    <s v="group D"/>
    <x v="2"/>
    <x v="0"/>
    <s v="none"/>
    <s v="17.881990722123184"/>
    <n v="16"/>
    <n v="64"/>
    <n v="63"/>
    <n v="66"/>
  </r>
  <r>
    <s v="male"/>
    <s v="group E"/>
    <x v="5"/>
    <x v="1"/>
    <s v="completed"/>
    <s v="13.72048447871782"/>
    <n v="16"/>
    <n v="78"/>
    <n v="83"/>
    <n v="80"/>
  </r>
  <r>
    <s v="female"/>
    <s v="group A"/>
    <x v="5"/>
    <x v="0"/>
    <s v="completed"/>
    <s v="7.3455540256141845"/>
    <n v="25"/>
    <n v="92"/>
    <n v="100"/>
    <n v="97"/>
  </r>
  <r>
    <s v="male"/>
    <s v="group C"/>
    <x v="4"/>
    <x v="0"/>
    <s v="completed"/>
    <s v="14.84402018242265"/>
    <n v="6"/>
    <n v="72"/>
    <n v="67"/>
    <n v="64"/>
  </r>
  <r>
    <s v="female"/>
    <s v="group C"/>
    <x v="4"/>
    <x v="1"/>
    <s v="none"/>
    <s v="5.045056677103408"/>
    <n v="14"/>
    <n v="62"/>
    <n v="67"/>
    <n v="64"/>
  </r>
  <r>
    <s v="male"/>
    <s v="group C"/>
    <x v="2"/>
    <x v="0"/>
    <s v="none"/>
    <s v="13.748737218817347"/>
    <n v="21"/>
    <n v="79"/>
    <n v="72"/>
    <n v="69"/>
  </r>
  <r>
    <s v="male"/>
    <s v="group C"/>
    <x v="5"/>
    <x v="1"/>
    <s v="none"/>
    <s v="14.577410189771916"/>
    <n v="4"/>
    <n v="79"/>
    <n v="76"/>
    <n v="65"/>
  </r>
  <r>
    <s v="male"/>
    <s v="group B"/>
    <x v="0"/>
    <x v="1"/>
    <s v="completed"/>
    <s v="13.080461553175208"/>
    <n v="28"/>
    <n v="87"/>
    <n v="90"/>
    <n v="88"/>
  </r>
  <r>
    <s v="female"/>
    <s v="group B"/>
    <x v="3"/>
    <x v="0"/>
    <s v="none"/>
    <s v="10.646205267598212"/>
    <n v="14"/>
    <n v="40"/>
    <n v="48"/>
    <n v="50"/>
  </r>
  <r>
    <s v="male"/>
    <s v="group D"/>
    <x v="1"/>
    <x v="1"/>
    <s v="none"/>
    <s v="17.066929952174476"/>
    <n v="23"/>
    <n v="77"/>
    <n v="62"/>
    <n v="64"/>
  </r>
  <r>
    <s v="male"/>
    <s v="group E"/>
    <x v="3"/>
    <x v="0"/>
    <s v="none"/>
    <s v="1.4204913529865326"/>
    <n v="11"/>
    <n v="53"/>
    <n v="45"/>
    <n v="40"/>
  </r>
  <r>
    <s v="female"/>
    <s v="group C"/>
    <x v="1"/>
    <x v="1"/>
    <s v="none"/>
    <s v="8.422378088681633"/>
    <n v="27"/>
    <n v="32"/>
    <n v="39"/>
    <n v="33"/>
  </r>
  <r>
    <s v="female"/>
    <s v="group C"/>
    <x v="3"/>
    <x v="0"/>
    <s v="completed"/>
    <s v="2.3002187365619564"/>
    <n v="28"/>
    <n v="55"/>
    <n v="72"/>
    <n v="79"/>
  </r>
  <r>
    <s v="male"/>
    <s v="group C"/>
    <x v="2"/>
    <x v="1"/>
    <s v="none"/>
    <s v="11.717261010558431"/>
    <n v="19"/>
    <n v="61"/>
    <n v="67"/>
    <n v="66"/>
  </r>
  <r>
    <s v="female"/>
    <s v="group B"/>
    <x v="3"/>
    <x v="1"/>
    <s v="none"/>
    <s v="3.4341997794737633"/>
    <n v="19"/>
    <n v="53"/>
    <n v="70"/>
    <n v="70"/>
  </r>
  <r>
    <s v="male"/>
    <s v="group D"/>
    <x v="5"/>
    <x v="0"/>
    <s v="none"/>
    <s v="11.923653388047537"/>
    <n v="9"/>
    <n v="73"/>
    <n v="66"/>
    <n v="62"/>
  </r>
  <r>
    <s v="female"/>
    <s v="group D"/>
    <x v="1"/>
    <x v="0"/>
    <s v="completed"/>
    <s v="8.143474771977505"/>
    <n v="5"/>
    <n v="74"/>
    <n v="75"/>
    <n v="79"/>
  </r>
  <r>
    <s v="female"/>
    <s v="group C"/>
    <x v="1"/>
    <x v="0"/>
    <s v="none"/>
    <s v="11.717042448663367"/>
    <n v="19"/>
    <n v="63"/>
    <n v="74"/>
    <n v="74"/>
  </r>
  <r>
    <s v="male"/>
    <s v="group C"/>
    <x v="0"/>
    <x v="0"/>
    <s v="completed"/>
    <s v="16.808855010920404"/>
    <n v="5"/>
    <n v="96"/>
    <n v="90"/>
    <n v="92"/>
  </r>
  <r>
    <s v="female"/>
    <s v="group D"/>
    <x v="1"/>
    <x v="1"/>
    <s v="completed"/>
    <s v="6.744040703379055"/>
    <n v="6"/>
    <n v="63"/>
    <n v="80"/>
    <n v="80"/>
  </r>
  <r>
    <s v="male"/>
    <s v="group B"/>
    <x v="0"/>
    <x v="1"/>
    <s v="none"/>
    <s v="0.8066032210302598"/>
    <n v="16"/>
    <n v="48"/>
    <n v="51"/>
    <n v="46"/>
  </r>
  <r>
    <s v="male"/>
    <s v="group B"/>
    <x v="3"/>
    <x v="0"/>
    <s v="none"/>
    <n v="12.703139780000001"/>
    <n v="16"/>
    <n v="48"/>
    <n v="43"/>
    <n v="45"/>
  </r>
  <r>
    <s v="female"/>
    <s v="group E"/>
    <x v="0"/>
    <x v="1"/>
    <s v="completed"/>
    <s v="16.827135426103972"/>
    <n v="17"/>
    <n v="92"/>
    <n v="100"/>
    <n v="100"/>
  </r>
  <r>
    <s v="female"/>
    <s v="group D"/>
    <x v="2"/>
    <x v="1"/>
    <s v="completed"/>
    <s v="3.415365200066738"/>
    <n v="23"/>
    <n v="61"/>
    <n v="71"/>
    <n v="78"/>
  </r>
  <r>
    <s v="male"/>
    <s v="group B"/>
    <x v="4"/>
    <x v="1"/>
    <s v="none"/>
    <s v="3.5238881232849506"/>
    <n v="0"/>
    <n v="63"/>
    <n v="48"/>
    <n v="47"/>
  </r>
  <r>
    <s v="male"/>
    <s v="group D"/>
    <x v="0"/>
    <x v="1"/>
    <s v="none"/>
    <s v="18.220313999584402"/>
    <n v="0"/>
    <n v="68"/>
    <n v="68"/>
    <n v="67"/>
  </r>
  <r>
    <s v="male"/>
    <s v="group B"/>
    <x v="1"/>
    <x v="0"/>
    <s v="completed"/>
    <s v="14.391168265308698"/>
    <n v="21"/>
    <n v="71"/>
    <n v="75"/>
    <n v="70"/>
  </r>
  <r>
    <s v="male"/>
    <s v="group A"/>
    <x v="0"/>
    <x v="0"/>
    <s v="none"/>
    <s v="10.264399516556376"/>
    <n v="8"/>
    <n v="91"/>
    <n v="96"/>
    <n v="92"/>
  </r>
  <r>
    <s v="female"/>
    <s v="group C"/>
    <x v="1"/>
    <x v="0"/>
    <s v="none"/>
    <s v="18.754092307587353"/>
    <n v="12"/>
    <n v="53"/>
    <n v="62"/>
    <n v="56"/>
  </r>
  <r>
    <s v="female"/>
    <s v="group C"/>
    <x v="4"/>
    <x v="1"/>
    <s v="completed"/>
    <s v="5.276121498927151"/>
    <n v="15"/>
    <n v="50"/>
    <n v="66"/>
    <n v="64"/>
  </r>
  <r>
    <s v="female"/>
    <s v="group E"/>
    <x v="4"/>
    <x v="0"/>
    <s v="none"/>
    <s v="3.3719809686807367"/>
    <n v="7"/>
    <n v="74"/>
    <n v="81"/>
    <n v="71"/>
  </r>
  <r>
    <s v="male"/>
    <s v="group A"/>
    <x v="3"/>
    <x v="1"/>
    <s v="completed"/>
    <s v="1.521999779615486"/>
    <n v="19"/>
    <n v="40"/>
    <n v="55"/>
    <n v="53"/>
  </r>
  <r>
    <s v="male"/>
    <s v="group A"/>
    <x v="1"/>
    <x v="0"/>
    <s v="completed"/>
    <s v="17.232499001679567"/>
    <n v="16"/>
    <n v="61"/>
    <n v="51"/>
    <n v="52"/>
  </r>
  <r>
    <s v="female"/>
    <s v="group B"/>
    <x v="4"/>
    <x v="0"/>
    <s v="none"/>
    <s v="5.789957302394393"/>
    <n v="11"/>
    <n v="81"/>
    <n v="91"/>
    <n v="89"/>
  </r>
  <r>
    <s v="female"/>
    <s v="group B"/>
    <x v="1"/>
    <x v="1"/>
    <s v="completed"/>
    <s v="9.648472031894578"/>
    <n v="21"/>
    <n v="48"/>
    <n v="56"/>
    <n v="58"/>
  </r>
  <r>
    <s v="female"/>
    <s v="group D"/>
    <x v="2"/>
    <x v="0"/>
    <s v="none"/>
    <s v="17.989061691076703"/>
    <n v="9"/>
    <n v="53"/>
    <n v="61"/>
    <n v="68"/>
  </r>
  <r>
    <s v="female"/>
    <s v="group D"/>
    <x v="5"/>
    <x v="0"/>
    <s v="none"/>
    <s v="16.564255157731886"/>
    <n v="21"/>
    <n v="81"/>
    <n v="97"/>
    <n v="96"/>
  </r>
  <r>
    <s v="female"/>
    <s v="group E"/>
    <x v="5"/>
    <x v="0"/>
    <s v="none"/>
    <s v="1.7601205502290451"/>
    <n v="14"/>
    <n v="77"/>
    <n v="79"/>
    <n v="80"/>
  </r>
  <r>
    <s v="female"/>
    <s v="group D"/>
    <x v="0"/>
    <x v="1"/>
    <s v="none"/>
    <s v="2.0205649298251704"/>
    <n v="23"/>
    <n v="63"/>
    <n v="73"/>
    <n v="78"/>
  </r>
  <r>
    <s v="female"/>
    <s v="group D"/>
    <x v="3"/>
    <x v="0"/>
    <s v="completed"/>
    <s v="6.6828604476772435"/>
    <n v="6"/>
    <n v="73"/>
    <n v="75"/>
    <n v="80"/>
  </r>
  <r>
    <s v="female"/>
    <s v="group D"/>
    <x v="1"/>
    <x v="0"/>
    <s v="none"/>
    <s v="18.755291186364484"/>
    <n v="5"/>
    <n v="69"/>
    <n v="77"/>
    <n v="77"/>
  </r>
  <r>
    <s v="female"/>
    <s v="group C"/>
    <x v="3"/>
    <x v="0"/>
    <s v="none"/>
    <s v="10.697455115175105"/>
    <n v="24"/>
    <n v="65"/>
    <n v="76"/>
    <n v="76"/>
  </r>
  <r>
    <s v="female"/>
    <s v="group A"/>
    <x v="4"/>
    <x v="0"/>
    <s v="none"/>
    <s v="9.106574996172043"/>
    <n v="4"/>
    <n v="55"/>
    <n v="73"/>
    <n v="73"/>
  </r>
  <r>
    <s v="female"/>
    <s v="group C"/>
    <x v="0"/>
    <x v="1"/>
    <s v="none"/>
    <s v="14.203465331803214"/>
    <n v="8"/>
    <n v="44"/>
    <n v="63"/>
    <n v="62"/>
  </r>
  <r>
    <s v="female"/>
    <s v="group C"/>
    <x v="1"/>
    <x v="0"/>
    <s v="none"/>
    <s v="16.060910493517596"/>
    <n v="5"/>
    <n v="54"/>
    <n v="64"/>
    <n v="65"/>
  </r>
  <r>
    <s v="female"/>
    <s v="group A"/>
    <x v="5"/>
    <x v="0"/>
    <s v="none"/>
    <s v="17.637096016413658"/>
    <n v="10"/>
    <n v="48"/>
    <n v="66"/>
    <n v="65"/>
  </r>
  <r>
    <s v="male"/>
    <s v="group C"/>
    <x v="1"/>
    <x v="1"/>
    <s v="none"/>
    <s v="10.976835111869477"/>
    <n v="1"/>
    <n v="58"/>
    <n v="57"/>
    <n v="54"/>
  </r>
  <r>
    <s v="male"/>
    <s v="group A"/>
    <x v="5"/>
    <x v="0"/>
    <s v="none"/>
    <s v="0.38086818548583645"/>
    <n v="8"/>
    <n v="71"/>
    <n v="62"/>
    <n v="50"/>
  </r>
  <r>
    <s v="male"/>
    <s v="group E"/>
    <x v="0"/>
    <x v="0"/>
    <s v="none"/>
    <s v="6.779398523456428"/>
    <n v="3"/>
    <n v="68"/>
    <n v="68"/>
    <n v="64"/>
  </r>
  <r>
    <s v="female"/>
    <s v="group E"/>
    <x v="4"/>
    <x v="0"/>
    <s v="none"/>
    <s v="17.269829009256366"/>
    <n v="5"/>
    <n v="74"/>
    <n v="76"/>
    <n v="73"/>
  </r>
  <r>
    <s v="female"/>
    <s v="group C"/>
    <x v="0"/>
    <x v="0"/>
    <s v="completed"/>
    <s v="11.660372948882728"/>
    <n v="27"/>
    <n v="92"/>
    <n v="100"/>
    <n v="99"/>
  </r>
  <r>
    <s v="female"/>
    <s v="group C"/>
    <x v="0"/>
    <x v="0"/>
    <s v="completed"/>
    <s v="16.59287610705857"/>
    <n v="8"/>
    <n v="56"/>
    <n v="79"/>
    <n v="72"/>
  </r>
  <r>
    <s v="male"/>
    <s v="group B"/>
    <x v="4"/>
    <x v="1"/>
    <s v="none"/>
    <s v="1.4183238287713906"/>
    <n v="24"/>
    <n v="30"/>
    <n v="24"/>
    <n v="15"/>
  </r>
  <r>
    <s v="male"/>
    <s v="group A"/>
    <x v="5"/>
    <x v="0"/>
    <s v="none"/>
    <s v="4.550677538729266"/>
    <n v="20"/>
    <n v="53"/>
    <n v="54"/>
    <n v="48"/>
  </r>
  <r>
    <s v="female"/>
    <s v="group D"/>
    <x v="4"/>
    <x v="0"/>
    <s v="none"/>
    <s v="18.397418682610855"/>
    <n v="10"/>
    <n v="69"/>
    <n v="77"/>
    <n v="73"/>
  </r>
  <r>
    <s v="female"/>
    <s v="group D"/>
    <x v="5"/>
    <x v="0"/>
    <s v="none"/>
    <s v="3.3820780084130297"/>
    <n v="4"/>
    <n v="65"/>
    <n v="82"/>
    <n v="81"/>
  </r>
  <r>
    <s v="female"/>
    <s v="group D"/>
    <x v="2"/>
    <x v="0"/>
    <s v="none"/>
    <s v="2.2789053888908706"/>
    <n v="17"/>
    <n v="54"/>
    <n v="60"/>
    <n v="63"/>
  </r>
  <r>
    <s v="female"/>
    <s v="group C"/>
    <x v="4"/>
    <x v="0"/>
    <s v="none"/>
    <s v="19.411466652547208"/>
    <n v="5"/>
    <n v="29"/>
    <n v="29"/>
    <n v="30"/>
  </r>
  <r>
    <s v="female"/>
    <s v="group E"/>
    <x v="1"/>
    <x v="0"/>
    <s v="none"/>
    <s v="5.319481293082243"/>
    <n v="12"/>
    <n v="76"/>
    <n v="78"/>
    <n v="80"/>
  </r>
  <r>
    <s v="male"/>
    <s v="group D"/>
    <x v="4"/>
    <x v="1"/>
    <s v="none"/>
    <s v="9.786454949502428"/>
    <n v="9"/>
    <n v="60"/>
    <n v="57"/>
    <n v="51"/>
  </r>
  <r>
    <s v="male"/>
    <s v="group D"/>
    <x v="2"/>
    <x v="1"/>
    <s v="completed"/>
    <s v="16.070835536528556"/>
    <n v="12"/>
    <n v="84"/>
    <n v="89"/>
    <n v="90"/>
  </r>
  <r>
    <s v="male"/>
    <s v="group C"/>
    <x v="5"/>
    <x v="0"/>
    <s v="none"/>
    <n v="6.0455340099999999"/>
    <n v="15"/>
    <n v="75"/>
    <n v="72"/>
    <n v="62"/>
  </r>
  <r>
    <s v="female"/>
    <s v="group C"/>
    <x v="3"/>
    <x v="0"/>
    <s v="none"/>
    <s v="6.736954028943054"/>
    <n v="27"/>
    <n v="85"/>
    <n v="84"/>
    <n v="82"/>
  </r>
  <r>
    <s v="female"/>
    <s v="group C"/>
    <x v="2"/>
    <x v="1"/>
    <s v="none"/>
    <s v="10.349220187685823"/>
    <n v="15"/>
    <n v="40"/>
    <n v="58"/>
    <n v="54"/>
  </r>
  <r>
    <s v="female"/>
    <s v="group E"/>
    <x v="1"/>
    <x v="0"/>
    <s v="none"/>
    <s v="13.399069817184362"/>
    <n v="20"/>
    <n v="61"/>
    <n v="64"/>
    <n v="62"/>
  </r>
  <r>
    <s v="female"/>
    <s v="group B"/>
    <x v="3"/>
    <x v="0"/>
    <s v="none"/>
    <s v="6.296823108174707"/>
    <n v="6"/>
    <n v="58"/>
    <n v="63"/>
    <n v="65"/>
  </r>
  <r>
    <s v="male"/>
    <s v="group D"/>
    <x v="1"/>
    <x v="1"/>
    <s v="completed"/>
    <s v="18.58521950395784"/>
    <n v="26"/>
    <n v="69"/>
    <n v="60"/>
    <n v="63"/>
  </r>
  <r>
    <s v="female"/>
    <s v="group C"/>
    <x v="1"/>
    <x v="0"/>
    <s v="none"/>
    <s v="5.101744448427963"/>
    <n v="22"/>
    <n v="58"/>
    <n v="59"/>
    <n v="66"/>
  </r>
  <r>
    <s v="male"/>
    <s v="group C"/>
    <x v="0"/>
    <x v="0"/>
    <s v="completed"/>
    <s v="17.782387114548857"/>
    <n v="2"/>
    <n v="94"/>
    <n v="90"/>
    <n v="91"/>
  </r>
  <r>
    <s v="female"/>
    <s v="group C"/>
    <x v="3"/>
    <x v="0"/>
    <s v="none"/>
    <s v="3.780345654929944"/>
    <n v="11"/>
    <n v="65"/>
    <n v="77"/>
    <n v="74"/>
  </r>
  <r>
    <s v="female"/>
    <s v="group A"/>
    <x v="3"/>
    <x v="0"/>
    <s v="none"/>
    <s v="2.1102729280240218"/>
    <n v="3"/>
    <n v="82"/>
    <n v="93"/>
    <n v="93"/>
  </r>
  <r>
    <s v="female"/>
    <s v="group C"/>
    <x v="4"/>
    <x v="0"/>
    <s v="none"/>
    <s v="18.819315756855875"/>
    <n v="16"/>
    <n v="60"/>
    <n v="68"/>
    <n v="72"/>
  </r>
  <r>
    <s v="female"/>
    <s v="group E"/>
    <x v="0"/>
    <x v="0"/>
    <s v="none"/>
    <s v="6.177217984729264"/>
    <n v="27"/>
    <n v="37"/>
    <n v="45"/>
    <n v="38"/>
  </r>
  <r>
    <s v="male"/>
    <s v="group D"/>
    <x v="0"/>
    <x v="0"/>
    <s v="none"/>
    <s v="18.274549880129186"/>
    <n v="22"/>
    <n v="88"/>
    <n v="78"/>
    <n v="83"/>
  </r>
  <r>
    <s v="male"/>
    <s v="group D"/>
    <x v="2"/>
    <x v="0"/>
    <s v="none"/>
    <s v="14.507792033236653"/>
    <n v="3"/>
    <n v="95"/>
    <n v="81"/>
    <n v="84"/>
  </r>
  <r>
    <s v="male"/>
    <s v="group C"/>
    <x v="3"/>
    <x v="1"/>
    <s v="completed"/>
    <s v="16.83617418057638"/>
    <n v="10"/>
    <n v="65"/>
    <n v="73"/>
    <n v="68"/>
  </r>
  <r>
    <s v="female"/>
    <s v="group C"/>
    <x v="4"/>
    <x v="1"/>
    <s v="none"/>
    <s v="10.207854426974132"/>
    <n v="2"/>
    <n v="35"/>
    <n v="61"/>
    <n v="54"/>
  </r>
  <r>
    <s v="male"/>
    <s v="group B"/>
    <x v="0"/>
    <x v="1"/>
    <s v="none"/>
    <s v="0.47432720611581214"/>
    <n v="6"/>
    <n v="62"/>
    <n v="63"/>
    <n v="56"/>
  </r>
  <r>
    <s v="male"/>
    <s v="group C"/>
    <x v="4"/>
    <x v="1"/>
    <s v="completed"/>
    <s v="10.130999998170944"/>
    <n v="26"/>
    <n v="58"/>
    <n v="51"/>
    <n v="52"/>
  </r>
  <r>
    <s v="male"/>
    <s v="group A"/>
    <x v="1"/>
    <x v="0"/>
    <s v="completed"/>
    <s v="0.16216393772426452"/>
    <n v="29"/>
    <n v="100"/>
    <n v="96"/>
    <n v="86"/>
  </r>
  <r>
    <s v="female"/>
    <s v="group E"/>
    <x v="0"/>
    <x v="1"/>
    <s v="none"/>
    <s v="1.0715311921481585"/>
    <n v="14"/>
    <n v="61"/>
    <n v="58"/>
    <n v="62"/>
  </r>
  <r>
    <s v="male"/>
    <s v="group D"/>
    <x v="1"/>
    <x v="0"/>
    <s v="completed"/>
    <s v="11.786632898954561"/>
    <n v="12"/>
    <n v="100"/>
    <n v="97"/>
    <n v="99"/>
  </r>
  <r>
    <s v="male"/>
    <s v="group B"/>
    <x v="3"/>
    <x v="1"/>
    <s v="completed"/>
    <s v="5.609264484093048"/>
    <n v="12"/>
    <n v="69"/>
    <n v="70"/>
    <n v="63"/>
  </r>
  <r>
    <s v="male"/>
    <s v="group D"/>
    <x v="3"/>
    <x v="0"/>
    <s v="none"/>
    <s v="12.75860979159331"/>
    <n v="3"/>
    <n v="61"/>
    <n v="48"/>
    <n v="46"/>
  </r>
  <r>
    <s v="male"/>
    <s v="group D"/>
    <x v="1"/>
    <x v="1"/>
    <s v="none"/>
    <s v="11.985871326209574"/>
    <n v="17"/>
    <n v="49"/>
    <n v="57"/>
    <n v="46"/>
  </r>
  <r>
    <s v="female"/>
    <s v="group C"/>
    <x v="5"/>
    <x v="0"/>
    <s v="completed"/>
    <s v="14.763015096833794"/>
    <n v="20"/>
    <n v="44"/>
    <n v="51"/>
    <n v="55"/>
  </r>
  <r>
    <s v="male"/>
    <s v="group D"/>
    <x v="1"/>
    <x v="0"/>
    <s v="none"/>
    <s v="14.121162292760616"/>
    <n v="17"/>
    <n v="67"/>
    <n v="64"/>
    <n v="70"/>
  </r>
  <r>
    <s v="male"/>
    <s v="group B"/>
    <x v="4"/>
    <x v="0"/>
    <s v="none"/>
    <s v="11.286021293396605"/>
    <n v="16"/>
    <n v="79"/>
    <n v="60"/>
    <n v="65"/>
  </r>
  <r>
    <s v="female"/>
    <s v="group B"/>
    <x v="0"/>
    <x v="0"/>
    <s v="completed"/>
    <s v="15.385011184831734"/>
    <n v="12"/>
    <n v="66"/>
    <n v="74"/>
    <n v="81"/>
  </r>
  <r>
    <s v="female"/>
    <s v="group C"/>
    <x v="4"/>
    <x v="0"/>
    <s v="none"/>
    <s v="3.5282382085577235"/>
    <n v="16"/>
    <n v="75"/>
    <n v="88"/>
    <n v="85"/>
  </r>
  <r>
    <s v="male"/>
    <s v="group D"/>
    <x v="5"/>
    <x v="0"/>
    <s v="none"/>
    <s v="1.5216945353101452"/>
    <n v="7"/>
    <n v="84"/>
    <n v="84"/>
    <n v="80"/>
  </r>
  <r>
    <s v="male"/>
    <s v="group A"/>
    <x v="4"/>
    <x v="0"/>
    <s v="none"/>
    <s v="14.81559734321345"/>
    <n v="5"/>
    <n v="71"/>
    <n v="74"/>
    <n v="64"/>
  </r>
  <r>
    <s v="female"/>
    <s v="group B"/>
    <x v="4"/>
    <x v="1"/>
    <s v="completed"/>
    <s v="15.701437231270255"/>
    <n v="7"/>
    <n v="67"/>
    <n v="80"/>
    <n v="81"/>
  </r>
  <r>
    <s v="female"/>
    <s v="group D"/>
    <x v="5"/>
    <x v="0"/>
    <s v="completed"/>
    <s v="12.08977964516919"/>
    <n v="14"/>
    <n v="80"/>
    <n v="92"/>
    <n v="88"/>
  </r>
  <r>
    <s v="male"/>
    <s v="group E"/>
    <x v="1"/>
    <x v="0"/>
    <s v="none"/>
    <n v="8.2567879550000001"/>
    <n v="6"/>
    <n v="86"/>
    <n v="76"/>
    <n v="74"/>
  </r>
  <r>
    <s v="female"/>
    <s v="group D"/>
    <x v="3"/>
    <x v="0"/>
    <s v="none"/>
    <s v="0.5289380519533493"/>
    <n v="15"/>
    <n v="76"/>
    <n v="74"/>
    <n v="73"/>
  </r>
  <r>
    <s v="male"/>
    <s v="group D"/>
    <x v="4"/>
    <x v="0"/>
    <s v="none"/>
    <s v="0.3591572750030192"/>
    <n v="21"/>
    <n v="41"/>
    <n v="52"/>
    <n v="51"/>
  </r>
  <r>
    <s v="female"/>
    <s v="group D"/>
    <x v="3"/>
    <x v="1"/>
    <s v="completed"/>
    <s v="9.636745071525164"/>
    <n v="24"/>
    <n v="74"/>
    <n v="88"/>
    <n v="90"/>
  </r>
  <r>
    <s v="female"/>
    <s v="group B"/>
    <x v="5"/>
    <x v="1"/>
    <s v="none"/>
    <s v="18.515770989891365"/>
    <n v="11"/>
    <n v="72"/>
    <n v="81"/>
    <n v="79"/>
  </r>
  <r>
    <s v="female"/>
    <s v="group E"/>
    <x v="4"/>
    <x v="0"/>
    <s v="completed"/>
    <s v="16.665425640716958"/>
    <n v="10"/>
    <n v="74"/>
    <n v="79"/>
    <n v="80"/>
  </r>
  <r>
    <s v="male"/>
    <s v="group B"/>
    <x v="4"/>
    <x v="0"/>
    <s v="none"/>
    <s v="17.197089806702436"/>
    <n v="25"/>
    <n v="70"/>
    <n v="65"/>
    <n v="60"/>
  </r>
  <r>
    <s v="female"/>
    <s v="group B"/>
    <x v="0"/>
    <x v="0"/>
    <s v="completed"/>
    <s v="3.875782600467097"/>
    <n v="5"/>
    <n v="65"/>
    <n v="81"/>
    <n v="81"/>
  </r>
  <r>
    <s v="female"/>
    <s v="group D"/>
    <x v="3"/>
    <x v="0"/>
    <s v="none"/>
    <s v="15.255981057516108"/>
    <n v="23"/>
    <n v="59"/>
    <n v="70"/>
    <n v="65"/>
  </r>
  <r>
    <s v="female"/>
    <s v="group E"/>
    <x v="4"/>
    <x v="1"/>
    <s v="none"/>
    <s v="4.424756396133674"/>
    <n v="21"/>
    <n v="64"/>
    <n v="62"/>
    <n v="68"/>
  </r>
  <r>
    <s v="female"/>
    <s v="group B"/>
    <x v="4"/>
    <x v="0"/>
    <s v="none"/>
    <s v="7.8736377198122565"/>
    <n v="0"/>
    <n v="50"/>
    <n v="53"/>
    <n v="55"/>
  </r>
  <r>
    <s v="female"/>
    <s v="group D"/>
    <x v="1"/>
    <x v="0"/>
    <s v="completed"/>
    <s v="12.761854515929048"/>
    <n v="9"/>
    <n v="69"/>
    <n v="79"/>
    <n v="81"/>
  </r>
  <r>
    <s v="male"/>
    <s v="group C"/>
    <x v="5"/>
    <x v="1"/>
    <s v="completed"/>
    <s v="18.652914346823355"/>
    <n v="27"/>
    <n v="51"/>
    <n v="56"/>
    <n v="53"/>
  </r>
  <r>
    <s v="female"/>
    <s v="group A"/>
    <x v="4"/>
    <x v="0"/>
    <s v="completed"/>
    <s v="13.673990914492416"/>
    <n v="14"/>
    <n v="68"/>
    <n v="80"/>
    <n v="76"/>
  </r>
  <r>
    <s v="female"/>
    <s v="group D"/>
    <x v="1"/>
    <x v="0"/>
    <s v="completed"/>
    <s v="10.87755842322235"/>
    <n v="29"/>
    <n v="85"/>
    <n v="86"/>
    <n v="98"/>
  </r>
  <r>
    <s v="female"/>
    <s v="group A"/>
    <x v="3"/>
    <x v="0"/>
    <s v="completed"/>
    <s v="13.573201876537942"/>
    <n v="27"/>
    <n v="65"/>
    <n v="70"/>
    <n v="74"/>
  </r>
  <r>
    <s v="female"/>
    <s v="group B"/>
    <x v="5"/>
    <x v="0"/>
    <s v="none"/>
    <s v="4.661063759697173"/>
    <n v="19"/>
    <n v="73"/>
    <n v="79"/>
    <n v="79"/>
  </r>
  <r>
    <s v="female"/>
    <s v="group B"/>
    <x v="1"/>
    <x v="0"/>
    <s v="none"/>
    <s v="11.59072738299962"/>
    <n v="15"/>
    <n v="62"/>
    <n v="67"/>
    <n v="67"/>
  </r>
  <r>
    <s v="male"/>
    <s v="group C"/>
    <x v="3"/>
    <x v="1"/>
    <s v="none"/>
    <s v="3.058863729508523"/>
    <n v="19"/>
    <n v="77"/>
    <n v="67"/>
    <n v="64"/>
  </r>
  <r>
    <s v="male"/>
    <s v="group D"/>
    <x v="5"/>
    <x v="0"/>
    <s v="none"/>
    <s v="9.242809465398015"/>
    <n v="23"/>
    <n v="69"/>
    <n v="66"/>
    <n v="61"/>
  </r>
  <r>
    <s v="female"/>
    <s v="group D"/>
    <x v="3"/>
    <x v="1"/>
    <s v="none"/>
    <s v="1.7387912138450834"/>
    <n v="24"/>
    <n v="43"/>
    <n v="60"/>
    <n v="58"/>
  </r>
  <r>
    <s v="male"/>
    <s v="group D"/>
    <x v="3"/>
    <x v="0"/>
    <s v="none"/>
    <s v="19.441069492469765"/>
    <n v="16"/>
    <n v="90"/>
    <n v="87"/>
    <n v="85"/>
  </r>
  <r>
    <s v="male"/>
    <s v="group C"/>
    <x v="1"/>
    <x v="1"/>
    <s v="none"/>
    <s v="0.2727969167176214"/>
    <n v="28"/>
    <n v="74"/>
    <n v="77"/>
    <n v="73"/>
  </r>
  <r>
    <s v="male"/>
    <s v="group C"/>
    <x v="5"/>
    <x v="0"/>
    <s v="none"/>
    <s v="10.18226770375044"/>
    <n v="21"/>
    <n v="73"/>
    <n v="66"/>
    <n v="63"/>
  </r>
  <r>
    <s v="female"/>
    <s v="group D"/>
    <x v="1"/>
    <x v="1"/>
    <s v="none"/>
    <s v="14.832756372352417"/>
    <n v="12"/>
    <n v="55"/>
    <n v="71"/>
    <n v="69"/>
  </r>
  <r>
    <s v="female"/>
    <s v="group C"/>
    <x v="4"/>
    <x v="0"/>
    <s v="none"/>
    <s v="1.3559279165622518"/>
    <n v="3"/>
    <n v="65"/>
    <n v="69"/>
    <n v="67"/>
  </r>
  <r>
    <s v="male"/>
    <s v="group D"/>
    <x v="3"/>
    <x v="0"/>
    <s v="none"/>
    <n v="9.5398383080000002"/>
    <n v="9"/>
    <n v="80"/>
    <n v="63"/>
    <n v="63"/>
  </r>
  <r>
    <s v="female"/>
    <s v="group C"/>
    <x v="5"/>
    <x v="1"/>
    <s v="completed"/>
    <s v="0.3052967929205952"/>
    <n v="23"/>
    <n v="50"/>
    <n v="60"/>
    <n v="60"/>
  </r>
  <r>
    <s v="female"/>
    <s v="group C"/>
    <x v="1"/>
    <x v="1"/>
    <s v="completed"/>
    <s v="0.4080322137641268"/>
    <n v="18"/>
    <n v="63"/>
    <n v="73"/>
    <n v="71"/>
  </r>
  <r>
    <s v="female"/>
    <s v="group B"/>
    <x v="0"/>
    <x v="1"/>
    <s v="none"/>
    <s v="8.790155608951036"/>
    <n v="14"/>
    <n v="77"/>
    <n v="85"/>
    <n v="87"/>
  </r>
  <r>
    <s v="male"/>
    <s v="group C"/>
    <x v="1"/>
    <x v="0"/>
    <s v="none"/>
    <s v="19.46090699028322"/>
    <n v="1"/>
    <n v="73"/>
    <n v="74"/>
    <n v="61"/>
  </r>
  <r>
    <s v="male"/>
    <s v="group D"/>
    <x v="3"/>
    <x v="0"/>
    <s v="completed"/>
    <s v="8.112387805108847"/>
    <n v="22"/>
    <n v="81"/>
    <n v="72"/>
    <n v="77"/>
  </r>
  <r>
    <s v="female"/>
    <s v="group C"/>
    <x v="4"/>
    <x v="1"/>
    <s v="none"/>
    <s v="2.5941251598005377"/>
    <n v="22"/>
    <n v="66"/>
    <n v="76"/>
    <n v="68"/>
  </r>
  <r>
    <s v="male"/>
    <s v="group D"/>
    <x v="3"/>
    <x v="1"/>
    <s v="none"/>
    <n v="0.94122395800000003"/>
    <n v="1"/>
    <n v="52"/>
    <n v="57"/>
    <n v="50"/>
  </r>
  <r>
    <s v="female"/>
    <s v="group C"/>
    <x v="1"/>
    <x v="0"/>
    <s v="none"/>
    <s v="12.665378346749778"/>
    <n v="26"/>
    <n v="69"/>
    <n v="78"/>
    <n v="76"/>
  </r>
  <r>
    <s v="female"/>
    <s v="group C"/>
    <x v="3"/>
    <x v="0"/>
    <s v="completed"/>
    <s v="2.813066784673335"/>
    <n v="2"/>
    <n v="65"/>
    <n v="84"/>
    <n v="84"/>
  </r>
  <r>
    <s v="female"/>
    <s v="group D"/>
    <x v="4"/>
    <x v="0"/>
    <s v="completed"/>
    <s v="4.596520835850722"/>
    <n v="12"/>
    <n v="69"/>
    <n v="77"/>
    <n v="78"/>
  </r>
  <r>
    <s v="female"/>
    <s v="group B"/>
    <x v="1"/>
    <x v="0"/>
    <s v="completed"/>
    <s v="8.160401825701623"/>
    <n v="5"/>
    <n v="50"/>
    <n v="64"/>
    <n v="66"/>
  </r>
  <r>
    <s v="female"/>
    <s v="group E"/>
    <x v="1"/>
    <x v="0"/>
    <s v="completed"/>
    <s v="9.913078417664941"/>
    <n v="15"/>
    <n v="73"/>
    <n v="78"/>
    <n v="76"/>
  </r>
  <r>
    <s v="female"/>
    <s v="group C"/>
    <x v="5"/>
    <x v="0"/>
    <s v="completed"/>
    <s v="13.143953232801245"/>
    <n v="21"/>
    <n v="70"/>
    <n v="82"/>
    <n v="76"/>
  </r>
  <r>
    <s v="male"/>
    <s v="group D"/>
    <x v="3"/>
    <x v="1"/>
    <s v="none"/>
    <s v="0.7640556751478211"/>
    <n v="11"/>
    <n v="81"/>
    <n v="75"/>
    <n v="78"/>
  </r>
  <r>
    <s v="male"/>
    <s v="group D"/>
    <x v="1"/>
    <x v="1"/>
    <s v="none"/>
    <n v="7.2664895109999996"/>
    <n v="4"/>
    <n v="63"/>
    <n v="61"/>
    <n v="60"/>
  </r>
  <r>
    <s v="female"/>
    <s v="group D"/>
    <x v="4"/>
    <x v="0"/>
    <s v="none"/>
    <s v="12.080099954790002"/>
    <n v="28"/>
    <n v="67"/>
    <n v="72"/>
    <n v="74"/>
  </r>
  <r>
    <s v="male"/>
    <s v="group B"/>
    <x v="4"/>
    <x v="0"/>
    <s v="none"/>
    <s v="4.689680135663399"/>
    <n v="18"/>
    <n v="60"/>
    <n v="68"/>
    <n v="60"/>
  </r>
  <r>
    <s v="male"/>
    <s v="group B"/>
    <x v="4"/>
    <x v="0"/>
    <s v="none"/>
    <s v="6.446769161618873"/>
    <n v="2"/>
    <n v="62"/>
    <n v="55"/>
    <n v="54"/>
  </r>
  <r>
    <s v="female"/>
    <s v="group C"/>
    <x v="5"/>
    <x v="1"/>
    <s v="completed"/>
    <n v="5.4192641569999997"/>
    <n v="6"/>
    <n v="29"/>
    <n v="40"/>
    <n v="44"/>
  </r>
  <r>
    <s v="male"/>
    <s v="group B"/>
    <x v="1"/>
    <x v="0"/>
    <s v="completed"/>
    <s v="18.978324363774302"/>
    <n v="16"/>
    <n v="62"/>
    <n v="66"/>
    <n v="68"/>
  </r>
  <r>
    <s v="female"/>
    <s v="group E"/>
    <x v="2"/>
    <x v="0"/>
    <s v="completed"/>
    <s v="5.880067771899062"/>
    <n v="23"/>
    <n v="94"/>
    <n v="99"/>
    <n v="100"/>
  </r>
  <r>
    <s v="male"/>
    <s v="group E"/>
    <x v="1"/>
    <x v="0"/>
    <s v="completed"/>
    <s v="0.9591546487397529"/>
    <n v="12"/>
    <n v="85"/>
    <n v="75"/>
    <n v="68"/>
  </r>
  <r>
    <s v="male"/>
    <s v="group D"/>
    <x v="3"/>
    <x v="1"/>
    <s v="none"/>
    <s v="9.518126549464014"/>
    <n v="4"/>
    <n v="77"/>
    <n v="78"/>
    <n v="73"/>
  </r>
  <r>
    <s v="male"/>
    <s v="group A"/>
    <x v="4"/>
    <x v="1"/>
    <s v="none"/>
    <s v="4.671608684447184"/>
    <n v="25"/>
    <n v="53"/>
    <n v="58"/>
    <n v="44"/>
  </r>
  <r>
    <s v="male"/>
    <s v="group E"/>
    <x v="1"/>
    <x v="1"/>
    <s v="none"/>
    <s v="0.18483176811028734"/>
    <n v="2"/>
    <n v="93"/>
    <n v="90"/>
    <n v="83"/>
  </r>
  <r>
    <s v="female"/>
    <s v="group C"/>
    <x v="3"/>
    <x v="0"/>
    <s v="none"/>
    <s v="8.815098868826357"/>
    <n v="29"/>
    <n v="49"/>
    <n v="53"/>
    <n v="53"/>
  </r>
  <r>
    <s v="female"/>
    <s v="group E"/>
    <x v="3"/>
    <x v="1"/>
    <s v="none"/>
    <s v="17.955916127840517"/>
    <n v="6"/>
    <n v="73"/>
    <n v="76"/>
    <n v="78"/>
  </r>
  <r>
    <s v="female"/>
    <s v="group C"/>
    <x v="0"/>
    <x v="1"/>
    <s v="completed"/>
    <s v="11.942332400310068"/>
    <n v="13"/>
    <n v="66"/>
    <n v="74"/>
    <n v="81"/>
  </r>
  <r>
    <s v="female"/>
    <s v="group D"/>
    <x v="3"/>
    <x v="0"/>
    <s v="none"/>
    <s v="10.268689942516403"/>
    <n v="17"/>
    <n v="77"/>
    <n v="77"/>
    <n v="73"/>
  </r>
  <r>
    <s v="female"/>
    <s v="group C"/>
    <x v="5"/>
    <x v="0"/>
    <s v="none"/>
    <s v="18.968503110829857"/>
    <n v="2"/>
    <n v="49"/>
    <n v="63"/>
    <n v="56"/>
  </r>
  <r>
    <s v="female"/>
    <s v="group D"/>
    <x v="1"/>
    <x v="1"/>
    <s v="none"/>
    <s v="15.440635719447096"/>
    <n v="27"/>
    <n v="79"/>
    <n v="89"/>
    <n v="86"/>
  </r>
  <r>
    <s v="female"/>
    <s v="group C"/>
    <x v="3"/>
    <x v="0"/>
    <s v="completed"/>
    <s v="5.305701781721048"/>
    <n v="3"/>
    <n v="75"/>
    <n v="82"/>
    <n v="90"/>
  </r>
  <r>
    <s v="female"/>
    <s v="group A"/>
    <x v="0"/>
    <x v="0"/>
    <s v="none"/>
    <s v="15.538927767850424"/>
    <n v="22"/>
    <n v="59"/>
    <n v="72"/>
    <n v="70"/>
  </r>
  <r>
    <s v="female"/>
    <s v="group D"/>
    <x v="3"/>
    <x v="0"/>
    <s v="completed"/>
    <n v="17.102188439999999"/>
    <n v="7"/>
    <n v="57"/>
    <n v="78"/>
    <n v="79"/>
  </r>
  <r>
    <s v="male"/>
    <s v="group C"/>
    <x v="4"/>
    <x v="1"/>
    <s v="none"/>
    <n v="11.838288090000001"/>
    <n v="16"/>
    <n v="66"/>
    <n v="66"/>
    <n v="59"/>
  </r>
  <r>
    <s v="female"/>
    <s v="group E"/>
    <x v="0"/>
    <x v="0"/>
    <s v="completed"/>
    <s v="12.18935526733244"/>
    <n v="11"/>
    <n v="79"/>
    <n v="81"/>
    <n v="82"/>
  </r>
  <r>
    <s v="female"/>
    <s v="group B"/>
    <x v="5"/>
    <x v="0"/>
    <s v="none"/>
    <s v="11.223004248703488"/>
    <n v="25"/>
    <n v="57"/>
    <n v="67"/>
    <n v="72"/>
  </r>
  <r>
    <s v="male"/>
    <s v="group A"/>
    <x v="0"/>
    <x v="0"/>
    <s v="completed"/>
    <s v="16.524347515504402"/>
    <n v="20"/>
    <n v="87"/>
    <n v="84"/>
    <n v="87"/>
  </r>
  <r>
    <s v="female"/>
    <s v="group D"/>
    <x v="1"/>
    <x v="0"/>
    <s v="none"/>
    <s v="6.104290602577183"/>
    <n v="7"/>
    <n v="63"/>
    <n v="64"/>
    <n v="67"/>
  </r>
  <r>
    <s v="female"/>
    <s v="group B"/>
    <x v="5"/>
    <x v="1"/>
    <s v="completed"/>
    <n v="9.6471241719999998"/>
    <n v="1"/>
    <n v="59"/>
    <n v="63"/>
    <n v="64"/>
  </r>
  <r>
    <s v="male"/>
    <s v="group A"/>
    <x v="0"/>
    <x v="1"/>
    <s v="none"/>
    <s v="18.402276266452574"/>
    <n v="22"/>
    <n v="62"/>
    <n v="72"/>
    <n v="65"/>
  </r>
  <r>
    <s v="male"/>
    <s v="group D"/>
    <x v="4"/>
    <x v="0"/>
    <s v="none"/>
    <s v="0.18620581524707358"/>
    <n v="29"/>
    <n v="46"/>
    <n v="34"/>
    <n v="36"/>
  </r>
  <r>
    <s v="male"/>
    <s v="group C"/>
    <x v="1"/>
    <x v="0"/>
    <s v="none"/>
    <s v="16.63147851820905"/>
    <n v="3"/>
    <n v="66"/>
    <n v="59"/>
    <n v="52"/>
  </r>
  <r>
    <s v="male"/>
    <s v="group D"/>
    <x v="4"/>
    <x v="0"/>
    <s v="none"/>
    <s v="14.150456379560856"/>
    <n v="26"/>
    <n v="89"/>
    <n v="87"/>
    <n v="79"/>
  </r>
  <r>
    <s v="female"/>
    <s v="group D"/>
    <x v="3"/>
    <x v="1"/>
    <s v="completed"/>
    <s v="15.36178756837333"/>
    <n v="3"/>
    <n v="42"/>
    <n v="61"/>
    <n v="58"/>
  </r>
  <r>
    <s v="male"/>
    <s v="group C"/>
    <x v="1"/>
    <x v="0"/>
    <s v="completed"/>
    <s v="6.587070484999094"/>
    <n v="27"/>
    <n v="93"/>
    <n v="84"/>
    <n v="90"/>
  </r>
  <r>
    <s v="female"/>
    <s v="group E"/>
    <x v="5"/>
    <x v="0"/>
    <s v="completed"/>
    <s v="0.3936643076282742"/>
    <n v="14"/>
    <n v="80"/>
    <n v="85"/>
    <n v="85"/>
  </r>
  <r>
    <s v="female"/>
    <s v="group D"/>
    <x v="1"/>
    <x v="0"/>
    <s v="none"/>
    <s v="10.868117043965281"/>
    <n v="16"/>
    <n v="98"/>
    <n v="100"/>
    <n v="99"/>
  </r>
  <r>
    <s v="male"/>
    <s v="group D"/>
    <x v="2"/>
    <x v="0"/>
    <s v="none"/>
    <n v="8.6361020160000006"/>
    <n v="6"/>
    <n v="81"/>
    <n v="81"/>
    <n v="84"/>
  </r>
  <r>
    <s v="female"/>
    <s v="group B"/>
    <x v="5"/>
    <x v="0"/>
    <s v="completed"/>
    <s v="16.543162968552465"/>
    <n v="8"/>
    <n v="60"/>
    <n v="70"/>
    <n v="74"/>
  </r>
  <r>
    <s v="female"/>
    <s v="group B"/>
    <x v="3"/>
    <x v="1"/>
    <s v="completed"/>
    <s v="16.246346654282377"/>
    <n v="3"/>
    <n v="76"/>
    <n v="94"/>
    <n v="87"/>
  </r>
  <r>
    <s v="male"/>
    <s v="group C"/>
    <x v="3"/>
    <x v="0"/>
    <s v="completed"/>
    <s v="11.615936597069513"/>
    <n v="13"/>
    <n v="73"/>
    <n v="78"/>
    <n v="72"/>
  </r>
  <r>
    <s v="female"/>
    <s v="group C"/>
    <x v="3"/>
    <x v="0"/>
    <s v="completed"/>
    <s v="8.359984338407031"/>
    <n v="8"/>
    <n v="96"/>
    <n v="96"/>
    <n v="99"/>
  </r>
  <r>
    <s v="female"/>
    <s v="group C"/>
    <x v="4"/>
    <x v="0"/>
    <s v="none"/>
    <s v="13.148886543549295"/>
    <n v="27"/>
    <n v="76"/>
    <n v="76"/>
    <n v="74"/>
  </r>
  <r>
    <s v="male"/>
    <s v="group E"/>
    <x v="3"/>
    <x v="1"/>
    <s v="completed"/>
    <s v="3.287853686568283"/>
    <n v="10"/>
    <n v="91"/>
    <n v="73"/>
    <n v="80"/>
  </r>
  <r>
    <s v="female"/>
    <s v="group C"/>
    <x v="1"/>
    <x v="1"/>
    <s v="none"/>
    <s v="18.867145974197634"/>
    <n v="21"/>
    <n v="62"/>
    <n v="72"/>
    <n v="70"/>
  </r>
  <r>
    <s v="male"/>
    <s v="group D"/>
    <x v="5"/>
    <x v="1"/>
    <s v="completed"/>
    <s v="4.819925159918359"/>
    <n v="22"/>
    <n v="55"/>
    <n v="59"/>
    <n v="59"/>
  </r>
  <r>
    <s v="female"/>
    <s v="group B"/>
    <x v="5"/>
    <x v="1"/>
    <s v="completed"/>
    <s v="1.7119910564553664"/>
    <n v="4"/>
    <n v="74"/>
    <n v="90"/>
    <n v="88"/>
  </r>
  <r>
    <s v="male"/>
    <s v="group C"/>
    <x v="4"/>
    <x v="0"/>
    <s v="none"/>
    <s v="18.444466363097202"/>
    <n v="0"/>
    <n v="50"/>
    <n v="48"/>
    <n v="42"/>
  </r>
  <r>
    <s v="male"/>
    <s v="group B"/>
    <x v="1"/>
    <x v="0"/>
    <s v="none"/>
    <s v="11.808522062157827"/>
    <n v="23"/>
    <n v="47"/>
    <n v="43"/>
    <n v="41"/>
  </r>
  <r>
    <s v="male"/>
    <s v="group E"/>
    <x v="1"/>
    <x v="0"/>
    <s v="completed"/>
    <s v="6.929385741573344"/>
    <n v="22"/>
    <n v="81"/>
    <n v="74"/>
    <n v="71"/>
  </r>
  <r>
    <s v="female"/>
    <s v="group E"/>
    <x v="3"/>
    <x v="0"/>
    <s v="completed"/>
    <s v="11.863119910542686"/>
    <n v="9"/>
    <n v="65"/>
    <n v="75"/>
    <n v="77"/>
  </r>
  <r>
    <s v="male"/>
    <s v="group E"/>
    <x v="5"/>
    <x v="0"/>
    <s v="completed"/>
    <s v="3.997459492988873"/>
    <n v="6"/>
    <n v="68"/>
    <n v="51"/>
    <n v="57"/>
  </r>
  <r>
    <s v="female"/>
    <s v="group D"/>
    <x v="4"/>
    <x v="1"/>
    <s v="none"/>
    <s v="14.944492901771739"/>
    <n v="13"/>
    <n v="73"/>
    <n v="92"/>
    <n v="84"/>
  </r>
  <r>
    <s v="male"/>
    <s v="group C"/>
    <x v="1"/>
    <x v="0"/>
    <s v="none"/>
    <s v="14.38045640867202"/>
    <n v="16"/>
    <n v="53"/>
    <n v="39"/>
    <n v="37"/>
  </r>
  <r>
    <s v="female"/>
    <s v="group B"/>
    <x v="3"/>
    <x v="1"/>
    <s v="completed"/>
    <s v="10.364366312718548"/>
    <n v="12"/>
    <n v="68"/>
    <n v="77"/>
    <n v="80"/>
  </r>
  <r>
    <s v="male"/>
    <s v="group A"/>
    <x v="5"/>
    <x v="1"/>
    <s v="none"/>
    <s v="8.802415419698724"/>
    <n v="1"/>
    <n v="55"/>
    <n v="46"/>
    <n v="43"/>
  </r>
  <r>
    <s v="female"/>
    <s v="group C"/>
    <x v="1"/>
    <x v="0"/>
    <s v="completed"/>
    <n v="9.0107307809999995"/>
    <n v="23"/>
    <n v="87"/>
    <n v="89"/>
    <n v="94"/>
  </r>
  <r>
    <s v="male"/>
    <s v="group D"/>
    <x v="5"/>
    <x v="0"/>
    <s v="none"/>
    <s v="19.27635322376361"/>
    <n v="3"/>
    <n v="55"/>
    <n v="47"/>
    <n v="44"/>
  </r>
  <r>
    <s v="female"/>
    <s v="group E"/>
    <x v="1"/>
    <x v="1"/>
    <s v="none"/>
    <s v="7.717188936722181"/>
    <n v="20"/>
    <n v="53"/>
    <n v="58"/>
    <n v="57"/>
  </r>
  <r>
    <s v="male"/>
    <s v="group C"/>
    <x v="2"/>
    <x v="0"/>
    <s v="none"/>
    <s v="11.628497897381742"/>
    <n v="23"/>
    <n v="67"/>
    <n v="57"/>
    <n v="59"/>
  </r>
  <r>
    <s v="male"/>
    <s v="group C"/>
    <x v="3"/>
    <x v="0"/>
    <s v="none"/>
    <s v="18.973081618059812"/>
    <n v="29"/>
    <n v="92"/>
    <n v="79"/>
    <n v="84"/>
  </r>
  <r>
    <s v="female"/>
    <s v="group B"/>
    <x v="1"/>
    <x v="1"/>
    <s v="completed"/>
    <s v="16.567562912032926"/>
    <n v="2"/>
    <n v="53"/>
    <n v="66"/>
    <n v="73"/>
  </r>
  <r>
    <s v="male"/>
    <s v="group D"/>
    <x v="3"/>
    <x v="0"/>
    <s v="none"/>
    <s v="1.8731490521494898"/>
    <n v="20"/>
    <n v="81"/>
    <n v="71"/>
    <n v="73"/>
  </r>
  <r>
    <s v="male"/>
    <s v="group C"/>
    <x v="4"/>
    <x v="1"/>
    <s v="none"/>
    <s v="12.973900850660709"/>
    <n v="27"/>
    <n v="61"/>
    <n v="60"/>
    <n v="55"/>
  </r>
  <r>
    <s v="male"/>
    <s v="group D"/>
    <x v="0"/>
    <x v="0"/>
    <s v="none"/>
    <s v="18.580417714336022"/>
    <n v="16"/>
    <n v="80"/>
    <n v="73"/>
    <n v="72"/>
  </r>
  <r>
    <s v="female"/>
    <s v="group A"/>
    <x v="3"/>
    <x v="1"/>
    <s v="none"/>
    <s v="14.649092582674594"/>
    <n v="14"/>
    <n v="37"/>
    <n v="57"/>
    <n v="56"/>
  </r>
  <r>
    <s v="female"/>
    <s v="group C"/>
    <x v="4"/>
    <x v="0"/>
    <s v="none"/>
    <s v="6.955401952088756"/>
    <n v="12"/>
    <n v="81"/>
    <n v="84"/>
    <n v="82"/>
  </r>
  <r>
    <s v="female"/>
    <s v="group C"/>
    <x v="3"/>
    <x v="0"/>
    <s v="completed"/>
    <s v="7.895506335433657"/>
    <n v="23"/>
    <n v="59"/>
    <n v="73"/>
    <n v="72"/>
  </r>
  <r>
    <s v="male"/>
    <s v="group B"/>
    <x v="1"/>
    <x v="1"/>
    <s v="none"/>
    <s v="8.315496019793029"/>
    <n v="20"/>
    <n v="55"/>
    <n v="55"/>
    <n v="47"/>
  </r>
  <r>
    <s v="male"/>
    <s v="group D"/>
    <x v="3"/>
    <x v="0"/>
    <s v="none"/>
    <s v="2.6186250425355495"/>
    <n v="18"/>
    <n v="72"/>
    <n v="79"/>
    <n v="74"/>
  </r>
  <r>
    <s v="male"/>
    <s v="group D"/>
    <x v="4"/>
    <x v="0"/>
    <s v="none"/>
    <s v="5.463192407398902"/>
    <n v="3"/>
    <n v="69"/>
    <n v="75"/>
    <n v="71"/>
  </r>
  <r>
    <s v="male"/>
    <s v="group C"/>
    <x v="1"/>
    <x v="0"/>
    <s v="none"/>
    <s v="13.856023972598175"/>
    <n v="18"/>
    <n v="69"/>
    <n v="64"/>
    <n v="68"/>
  </r>
  <r>
    <s v="female"/>
    <s v="group C"/>
    <x v="0"/>
    <x v="1"/>
    <s v="none"/>
    <s v="9.507181353617371"/>
    <n v="10"/>
    <n v="50"/>
    <n v="60"/>
    <n v="59"/>
  </r>
  <r>
    <s v="male"/>
    <s v="group B"/>
    <x v="1"/>
    <x v="0"/>
    <s v="completed"/>
    <s v="6.393041245106012"/>
    <n v="18"/>
    <n v="87"/>
    <n v="84"/>
    <n v="86"/>
  </r>
  <r>
    <s v="male"/>
    <s v="group D"/>
    <x v="5"/>
    <x v="0"/>
    <s v="completed"/>
    <s v="0.2602042685174544"/>
    <n v="15"/>
    <n v="71"/>
    <n v="69"/>
    <n v="68"/>
  </r>
  <r>
    <s v="male"/>
    <s v="group E"/>
    <x v="1"/>
    <x v="0"/>
    <s v="none"/>
    <s v="17.972778566022065"/>
    <n v="21"/>
    <n v="68"/>
    <n v="72"/>
    <n v="65"/>
  </r>
  <r>
    <s v="male"/>
    <s v="group C"/>
    <x v="2"/>
    <x v="1"/>
    <s v="completed"/>
    <n v="17.79374825"/>
    <n v="24"/>
    <n v="79"/>
    <n v="77"/>
    <n v="75"/>
  </r>
  <r>
    <s v="female"/>
    <s v="group C"/>
    <x v="5"/>
    <x v="0"/>
    <s v="completed"/>
    <n v="2.4714498119999999"/>
    <n v="23"/>
    <n v="77"/>
    <n v="90"/>
    <n v="85"/>
  </r>
  <r>
    <s v="male"/>
    <s v="group C"/>
    <x v="3"/>
    <x v="1"/>
    <s v="none"/>
    <s v="19.08263283142145"/>
    <n v="25"/>
    <n v="58"/>
    <n v="55"/>
    <n v="53"/>
  </r>
  <r>
    <s v="female"/>
    <s v="group E"/>
    <x v="3"/>
    <x v="0"/>
    <s v="none"/>
    <s v="0.8769370499325979"/>
    <n v="3"/>
    <n v="84"/>
    <n v="95"/>
    <n v="92"/>
  </r>
  <r>
    <s v="male"/>
    <s v="group D"/>
    <x v="1"/>
    <x v="0"/>
    <s v="none"/>
    <s v="7.478774272075492"/>
    <n v="0"/>
    <n v="55"/>
    <n v="58"/>
    <n v="52"/>
  </r>
  <r>
    <s v="male"/>
    <s v="group E"/>
    <x v="0"/>
    <x v="1"/>
    <s v="completed"/>
    <s v="8.933774434893298"/>
    <n v="2"/>
    <n v="70"/>
    <n v="68"/>
    <n v="72"/>
  </r>
  <r>
    <s v="female"/>
    <s v="group D"/>
    <x v="1"/>
    <x v="1"/>
    <s v="completed"/>
    <s v="1.040916775122629"/>
    <n v="18"/>
    <n v="52"/>
    <n v="59"/>
    <n v="65"/>
  </r>
  <r>
    <s v="male"/>
    <s v="group B"/>
    <x v="1"/>
    <x v="0"/>
    <s v="completed"/>
    <n v="9.355164619"/>
    <n v="18"/>
    <n v="69"/>
    <n v="77"/>
    <n v="77"/>
  </r>
  <r>
    <s v="female"/>
    <s v="group C"/>
    <x v="4"/>
    <x v="1"/>
    <s v="none"/>
    <s v="7.663289371182516"/>
    <n v="25"/>
    <n v="53"/>
    <n v="72"/>
    <n v="64"/>
  </r>
  <r>
    <s v="female"/>
    <s v="group D"/>
    <x v="5"/>
    <x v="0"/>
    <s v="none"/>
    <s v="10.869397399627264"/>
    <n v="18"/>
    <n v="48"/>
    <n v="58"/>
    <n v="54"/>
  </r>
  <r>
    <s v="male"/>
    <s v="group D"/>
    <x v="5"/>
    <x v="0"/>
    <s v="completed"/>
    <s v="5.0944100091509785"/>
    <n v="6"/>
    <n v="78"/>
    <n v="81"/>
    <n v="86"/>
  </r>
  <r>
    <s v="female"/>
    <s v="group B"/>
    <x v="4"/>
    <x v="0"/>
    <s v="none"/>
    <s v="11.859694955109878"/>
    <n v="15"/>
    <n v="62"/>
    <n v="62"/>
    <n v="63"/>
  </r>
  <r>
    <s v="male"/>
    <s v="group D"/>
    <x v="1"/>
    <x v="0"/>
    <s v="none"/>
    <s v="15.665801848777328"/>
    <n v="19"/>
    <n v="60"/>
    <n v="63"/>
    <n v="59"/>
  </r>
  <r>
    <s v="female"/>
    <s v="group B"/>
    <x v="4"/>
    <x v="0"/>
    <s v="none"/>
    <s v="5.928814495587944"/>
    <n v="16"/>
    <n v="74"/>
    <n v="72"/>
    <n v="72"/>
  </r>
  <r>
    <s v="female"/>
    <s v="group C"/>
    <x v="4"/>
    <x v="0"/>
    <s v="completed"/>
    <s v="8.457368181181742"/>
    <n v="25"/>
    <n v="58"/>
    <n v="75"/>
    <n v="77"/>
  </r>
  <r>
    <s v="male"/>
    <s v="group B"/>
    <x v="4"/>
    <x v="0"/>
    <s v="completed"/>
    <s v="7.102635280514327"/>
    <n v="15"/>
    <n v="76"/>
    <n v="62"/>
    <n v="60"/>
  </r>
  <r>
    <s v="female"/>
    <s v="group D"/>
    <x v="5"/>
    <x v="0"/>
    <s v="none"/>
    <s v="12.087614381656163"/>
    <n v="24"/>
    <n v="68"/>
    <n v="71"/>
    <n v="75"/>
  </r>
  <r>
    <s v="male"/>
    <s v="group A"/>
    <x v="1"/>
    <x v="1"/>
    <s v="none"/>
    <s v="7.560498988688041"/>
    <n v="1"/>
    <n v="58"/>
    <n v="60"/>
    <n v="57"/>
  </r>
  <r>
    <s v="male"/>
    <s v="group B"/>
    <x v="4"/>
    <x v="0"/>
    <s v="none"/>
    <s v="10.641736478760226"/>
    <n v="9"/>
    <n v="52"/>
    <n v="48"/>
    <n v="49"/>
  </r>
  <r>
    <s v="male"/>
    <s v="group D"/>
    <x v="0"/>
    <x v="0"/>
    <s v="none"/>
    <s v="13.38824128507287"/>
    <n v="11"/>
    <n v="75"/>
    <n v="73"/>
    <n v="74"/>
  </r>
  <r>
    <s v="female"/>
    <s v="group B"/>
    <x v="5"/>
    <x v="1"/>
    <s v="completed"/>
    <s v="16.89418334151725"/>
    <n v="10"/>
    <n v="52"/>
    <n v="67"/>
    <n v="72"/>
  </r>
  <r>
    <s v="female"/>
    <s v="group C"/>
    <x v="0"/>
    <x v="1"/>
    <s v="none"/>
    <s v="9.844323665749338"/>
    <n v="19"/>
    <n v="62"/>
    <n v="78"/>
    <n v="79"/>
  </r>
  <r>
    <s v="male"/>
    <s v="group B"/>
    <x v="1"/>
    <x v="0"/>
    <s v="none"/>
    <s v="11.074564627967225"/>
    <n v="18"/>
    <n v="66"/>
    <n v="65"/>
    <n v="60"/>
  </r>
  <r>
    <s v="female"/>
    <s v="group B"/>
    <x v="5"/>
    <x v="1"/>
    <s v="none"/>
    <s v="4.461800368907117"/>
    <n v="18"/>
    <n v="49"/>
    <n v="58"/>
    <n v="55"/>
  </r>
  <r>
    <s v="female"/>
    <s v="group B"/>
    <x v="4"/>
    <x v="0"/>
    <s v="none"/>
    <s v="13.762353184127004"/>
    <n v="25"/>
    <n v="66"/>
    <n v="72"/>
    <n v="70"/>
  </r>
  <r>
    <s v="female"/>
    <s v="group C"/>
    <x v="1"/>
    <x v="1"/>
    <s v="none"/>
    <s v="3.0531632908156747"/>
    <n v="23"/>
    <n v="35"/>
    <n v="44"/>
    <n v="43"/>
  </r>
  <r>
    <s v="female"/>
    <s v="group A"/>
    <x v="1"/>
    <x v="0"/>
    <s v="completed"/>
    <s v="11.296383257727921"/>
    <n v="27"/>
    <n v="72"/>
    <n v="79"/>
    <n v="82"/>
  </r>
  <r>
    <s v="male"/>
    <s v="group E"/>
    <x v="3"/>
    <x v="0"/>
    <s v="completed"/>
    <s v="5.344197909721482"/>
    <n v="26"/>
    <n v="94"/>
    <n v="85"/>
    <n v="82"/>
  </r>
  <r>
    <s v="female"/>
    <s v="group D"/>
    <x v="3"/>
    <x v="1"/>
    <s v="none"/>
    <s v="2.8322270123579862"/>
    <n v="18"/>
    <n v="46"/>
    <n v="56"/>
    <n v="57"/>
  </r>
  <r>
    <s v="female"/>
    <s v="group B"/>
    <x v="2"/>
    <x v="0"/>
    <s v="none"/>
    <s v="13.796421426575238"/>
    <n v="6"/>
    <n v="77"/>
    <n v="90"/>
    <n v="84"/>
  </r>
  <r>
    <s v="female"/>
    <s v="group B"/>
    <x v="4"/>
    <x v="1"/>
    <s v="completed"/>
    <s v="0.46094176813214816"/>
    <n v="14"/>
    <n v="76"/>
    <n v="85"/>
    <n v="82"/>
  </r>
  <r>
    <s v="female"/>
    <s v="group C"/>
    <x v="3"/>
    <x v="0"/>
    <s v="completed"/>
    <s v="4.286001446457572"/>
    <n v="14"/>
    <n v="52"/>
    <n v="59"/>
    <n v="62"/>
  </r>
  <r>
    <s v="male"/>
    <s v="group C"/>
    <x v="0"/>
    <x v="0"/>
    <s v="completed"/>
    <s v="1.7965150514416806"/>
    <n v="11"/>
    <n v="91"/>
    <n v="81"/>
    <n v="79"/>
  </r>
  <r>
    <s v="female"/>
    <s v="group B"/>
    <x v="5"/>
    <x v="0"/>
    <s v="completed"/>
    <s v="3.4957343009031594"/>
    <n v="12"/>
    <n v="32"/>
    <n v="51"/>
    <n v="44"/>
  </r>
  <r>
    <s v="female"/>
    <s v="group E"/>
    <x v="5"/>
    <x v="1"/>
    <s v="none"/>
    <s v="13.095515025685206"/>
    <n v="4"/>
    <n v="72"/>
    <n v="79"/>
    <n v="77"/>
  </r>
  <r>
    <s v="female"/>
    <s v="group B"/>
    <x v="1"/>
    <x v="0"/>
    <s v="none"/>
    <s v="6.418708766388807"/>
    <n v="27"/>
    <n v="19"/>
    <n v="38"/>
    <n v="32"/>
  </r>
  <r>
    <s v="male"/>
    <s v="group C"/>
    <x v="3"/>
    <x v="1"/>
    <s v="none"/>
    <s v="15.013380285633097"/>
    <n v="9"/>
    <n v="68"/>
    <n v="65"/>
    <n v="61"/>
  </r>
  <r>
    <s v="female"/>
    <s v="group C"/>
    <x v="2"/>
    <x v="1"/>
    <s v="none"/>
    <s v="1.106647743266922"/>
    <n v="15"/>
    <n v="52"/>
    <n v="65"/>
    <n v="61"/>
  </r>
  <r>
    <s v="female"/>
    <s v="group B"/>
    <x v="4"/>
    <x v="0"/>
    <s v="none"/>
    <s v="9.037380893045556"/>
    <n v="1"/>
    <n v="48"/>
    <n v="62"/>
    <n v="60"/>
  </r>
  <r>
    <s v="female"/>
    <s v="group D"/>
    <x v="1"/>
    <x v="1"/>
    <s v="none"/>
    <s v="10.103280365866297"/>
    <n v="26"/>
    <n v="60"/>
    <n v="66"/>
    <n v="70"/>
  </r>
  <r>
    <s v="male"/>
    <s v="group D"/>
    <x v="4"/>
    <x v="1"/>
    <s v="none"/>
    <s v="9.381206804423073"/>
    <n v="18"/>
    <n v="66"/>
    <n v="74"/>
    <n v="69"/>
  </r>
  <r>
    <s v="male"/>
    <s v="group E"/>
    <x v="5"/>
    <x v="0"/>
    <s v="completed"/>
    <s v="6.267353889145564"/>
    <n v="7"/>
    <n v="89"/>
    <n v="84"/>
    <n v="77"/>
  </r>
  <r>
    <s v="female"/>
    <s v="group B"/>
    <x v="4"/>
    <x v="0"/>
    <s v="none"/>
    <s v="6.7233067715915995"/>
    <n v="11"/>
    <n v="42"/>
    <n v="52"/>
    <n v="51"/>
  </r>
  <r>
    <s v="female"/>
    <s v="group E"/>
    <x v="3"/>
    <x v="1"/>
    <s v="completed"/>
    <s v="14.098222654626722"/>
    <n v="8"/>
    <n v="57"/>
    <n v="68"/>
    <n v="73"/>
  </r>
  <r>
    <s v="male"/>
    <s v="group D"/>
    <x v="4"/>
    <x v="0"/>
    <s v="none"/>
    <s v="2.7791981049783243"/>
    <n v="13"/>
    <n v="70"/>
    <n v="70"/>
    <n v="70"/>
  </r>
  <r>
    <s v="female"/>
    <s v="group E"/>
    <x v="3"/>
    <x v="1"/>
    <s v="none"/>
    <s v="17.584086751707652"/>
    <n v="6"/>
    <n v="70"/>
    <n v="84"/>
    <n v="81"/>
  </r>
  <r>
    <s v="male"/>
    <s v="group E"/>
    <x v="1"/>
    <x v="0"/>
    <s v="none"/>
    <s v="0.7718312387626769"/>
    <n v="19"/>
    <n v="69"/>
    <n v="60"/>
    <n v="54"/>
  </r>
  <r>
    <s v="female"/>
    <s v="group C"/>
    <x v="3"/>
    <x v="0"/>
    <s v="none"/>
    <s v="6.580114593244657"/>
    <n v="6"/>
    <n v="52"/>
    <n v="55"/>
    <n v="57"/>
  </r>
  <r>
    <s v="male"/>
    <s v="group C"/>
    <x v="5"/>
    <x v="0"/>
    <s v="completed"/>
    <s v="18.185300869106815"/>
    <n v="9"/>
    <n v="67"/>
    <n v="73"/>
    <n v="68"/>
  </r>
  <r>
    <s v="male"/>
    <s v="group C"/>
    <x v="5"/>
    <x v="0"/>
    <s v="completed"/>
    <s v="6.414243299685878"/>
    <n v="4"/>
    <n v="76"/>
    <n v="80"/>
    <n v="73"/>
  </r>
  <r>
    <s v="female"/>
    <s v="group E"/>
    <x v="3"/>
    <x v="0"/>
    <s v="none"/>
    <s v="12.283377006377854"/>
    <n v="3"/>
    <n v="87"/>
    <n v="94"/>
    <n v="95"/>
  </r>
  <r>
    <s v="female"/>
    <s v="group B"/>
    <x v="1"/>
    <x v="0"/>
    <s v="none"/>
    <s v="5.733211625740459"/>
    <n v="5"/>
    <n v="82"/>
    <n v="85"/>
    <n v="87"/>
  </r>
  <r>
    <s v="female"/>
    <s v="group C"/>
    <x v="1"/>
    <x v="0"/>
    <s v="none"/>
    <s v="2.2521845869844137"/>
    <n v="8"/>
    <n v="73"/>
    <n v="76"/>
    <n v="78"/>
  </r>
  <r>
    <s v="male"/>
    <s v="group A"/>
    <x v="1"/>
    <x v="1"/>
    <s v="none"/>
    <s v="2.313504472962331"/>
    <n v="5"/>
    <n v="75"/>
    <n v="81"/>
    <n v="74"/>
  </r>
  <r>
    <s v="female"/>
    <s v="group D"/>
    <x v="1"/>
    <x v="1"/>
    <s v="none"/>
    <s v="13.735114405638178"/>
    <n v="17"/>
    <n v="64"/>
    <n v="74"/>
    <n v="75"/>
  </r>
  <r>
    <s v="female"/>
    <s v="group E"/>
    <x v="4"/>
    <x v="1"/>
    <s v="none"/>
    <s v="17.167467595221247"/>
    <n v="29"/>
    <n v="41"/>
    <n v="45"/>
    <n v="40"/>
  </r>
  <r>
    <s v="male"/>
    <s v="group C"/>
    <x v="4"/>
    <x v="0"/>
    <s v="none"/>
    <s v="4.0227308518075455"/>
    <n v="19"/>
    <n v="90"/>
    <n v="75"/>
    <n v="69"/>
  </r>
  <r>
    <s v="male"/>
    <s v="group B"/>
    <x v="0"/>
    <x v="0"/>
    <s v="none"/>
    <s v="17.07259857055914"/>
    <n v="24"/>
    <n v="59"/>
    <n v="54"/>
    <n v="51"/>
  </r>
  <r>
    <s v="male"/>
    <s v="group A"/>
    <x v="5"/>
    <x v="0"/>
    <s v="none"/>
    <s v="3.4135487060446734"/>
    <n v="10"/>
    <n v="51"/>
    <n v="31"/>
    <n v="36"/>
  </r>
  <r>
    <s v="male"/>
    <s v="group A"/>
    <x v="4"/>
    <x v="1"/>
    <s v="none"/>
    <s v="16.023430065906496"/>
    <n v="4"/>
    <n v="45"/>
    <n v="47"/>
    <n v="49"/>
  </r>
  <r>
    <s v="female"/>
    <s v="group C"/>
    <x v="2"/>
    <x v="0"/>
    <s v="completed"/>
    <s v="11.262531877840939"/>
    <n v="21"/>
    <n v="54"/>
    <n v="64"/>
    <n v="67"/>
  </r>
  <r>
    <s v="male"/>
    <s v="group E"/>
    <x v="5"/>
    <x v="0"/>
    <s v="completed"/>
    <s v="0.060417427123224954"/>
    <n v="21"/>
    <n v="87"/>
    <n v="84"/>
    <n v="76"/>
  </r>
  <r>
    <s v="female"/>
    <s v="group C"/>
    <x v="4"/>
    <x v="0"/>
    <s v="none"/>
    <s v="17.66699402044208"/>
    <n v="8"/>
    <n v="72"/>
    <n v="80"/>
    <n v="83"/>
  </r>
  <r>
    <s v="male"/>
    <s v="group B"/>
    <x v="5"/>
    <x v="0"/>
    <s v="completed"/>
    <s v="1.591762947440849"/>
    <n v="5"/>
    <n v="94"/>
    <n v="86"/>
    <n v="87"/>
  </r>
  <r>
    <s v="female"/>
    <s v="group A"/>
    <x v="0"/>
    <x v="0"/>
    <s v="none"/>
    <s v="12.113984809197513"/>
    <n v="21"/>
    <n v="45"/>
    <n v="59"/>
    <n v="64"/>
  </r>
  <r>
    <s v="male"/>
    <s v="group D"/>
    <x v="0"/>
    <x v="1"/>
    <s v="completed"/>
    <s v="0.2551295941486109"/>
    <n v="8"/>
    <n v="61"/>
    <n v="70"/>
    <n v="76"/>
  </r>
  <r>
    <s v="female"/>
    <s v="group B"/>
    <x v="4"/>
    <x v="1"/>
    <s v="none"/>
    <s v="10.845999512421582"/>
    <n v="23"/>
    <n v="60"/>
    <n v="72"/>
    <n v="68"/>
  </r>
  <r>
    <s v="female"/>
    <s v="group C"/>
    <x v="5"/>
    <x v="0"/>
    <s v="none"/>
    <s v="10.318917570508468"/>
    <n v="5"/>
    <n v="77"/>
    <n v="91"/>
    <n v="88"/>
  </r>
  <r>
    <s v="female"/>
    <s v="group A"/>
    <x v="5"/>
    <x v="0"/>
    <s v="completed"/>
    <s v="14.64601541216362"/>
    <n v="7"/>
    <n v="85"/>
    <n v="90"/>
    <n v="92"/>
  </r>
  <r>
    <s v="female"/>
    <s v="group D"/>
    <x v="0"/>
    <x v="1"/>
    <s v="none"/>
    <s v="7.272228983801277"/>
    <n v="12"/>
    <n v="78"/>
    <n v="90"/>
    <n v="93"/>
  </r>
  <r>
    <s v="male"/>
    <s v="group E"/>
    <x v="1"/>
    <x v="1"/>
    <s v="completed"/>
    <s v="1.0455274454441144"/>
    <n v="16"/>
    <n v="49"/>
    <n v="52"/>
    <n v="51"/>
  </r>
  <r>
    <s v="female"/>
    <s v="group B"/>
    <x v="4"/>
    <x v="1"/>
    <s v="none"/>
    <s v="6.879592726327404"/>
    <n v="19"/>
    <n v="71"/>
    <n v="87"/>
    <n v="82"/>
  </r>
  <r>
    <s v="female"/>
    <s v="group C"/>
    <x v="5"/>
    <x v="1"/>
    <s v="none"/>
    <s v="8.093074832971004"/>
    <n v="29"/>
    <n v="48"/>
    <n v="58"/>
    <n v="52"/>
  </r>
  <r>
    <s v="male"/>
    <s v="group C"/>
    <x v="4"/>
    <x v="0"/>
    <s v="none"/>
    <s v="13.864190844377354"/>
    <n v="8"/>
    <n v="62"/>
    <n v="67"/>
    <n v="58"/>
  </r>
  <r>
    <s v="female"/>
    <s v="group C"/>
    <x v="3"/>
    <x v="1"/>
    <s v="completed"/>
    <s v="13.790684178108304"/>
    <n v="13"/>
    <n v="56"/>
    <n v="68"/>
    <n v="70"/>
  </r>
  <r>
    <s v="female"/>
    <s v="group C"/>
    <x v="5"/>
    <x v="0"/>
    <s v="none"/>
    <s v="14.887364086079813"/>
    <n v="1"/>
    <n v="65"/>
    <n v="69"/>
    <n v="76"/>
  </r>
  <r>
    <s v="female"/>
    <s v="group D"/>
    <x v="5"/>
    <x v="1"/>
    <s v="completed"/>
    <s v="13.142376781225467"/>
    <n v="27"/>
    <n v="69"/>
    <n v="86"/>
    <n v="81"/>
  </r>
  <r>
    <s v="male"/>
    <s v="group B"/>
    <x v="5"/>
    <x v="0"/>
    <s v="none"/>
    <s v="15.956047444172155"/>
    <n v="23"/>
    <n v="68"/>
    <n v="54"/>
    <n v="53"/>
  </r>
  <r>
    <s v="female"/>
    <s v="group A"/>
    <x v="1"/>
    <x v="1"/>
    <s v="none"/>
    <s v="3.170404680548189"/>
    <n v="12"/>
    <n v="61"/>
    <n v="60"/>
    <n v="57"/>
  </r>
  <r>
    <s v="female"/>
    <s v="group C"/>
    <x v="0"/>
    <x v="1"/>
    <s v="completed"/>
    <s v="18.974098364783615"/>
    <n v="16"/>
    <n v="74"/>
    <n v="86"/>
    <n v="89"/>
  </r>
  <r>
    <s v="male"/>
    <s v="group A"/>
    <x v="0"/>
    <x v="0"/>
    <s v="none"/>
    <s v="14.56941891117184"/>
    <n v="14"/>
    <n v="64"/>
    <n v="60"/>
    <n v="58"/>
  </r>
  <r>
    <s v="female"/>
    <s v="group B"/>
    <x v="4"/>
    <x v="0"/>
    <s v="completed"/>
    <s v="11.778720451250956"/>
    <n v="20"/>
    <n v="77"/>
    <n v="82"/>
    <n v="89"/>
  </r>
  <r>
    <s v="male"/>
    <s v="group B"/>
    <x v="1"/>
    <x v="0"/>
    <s v="none"/>
    <s v="19.80445069230148"/>
    <n v="3"/>
    <n v="58"/>
    <n v="50"/>
    <n v="45"/>
  </r>
  <r>
    <s v="female"/>
    <s v="group C"/>
    <x v="4"/>
    <x v="0"/>
    <s v="completed"/>
    <s v="19.609415955661422"/>
    <n v="18"/>
    <n v="60"/>
    <n v="64"/>
    <n v="74"/>
  </r>
  <r>
    <s v="male"/>
    <s v="group E"/>
    <x v="4"/>
    <x v="0"/>
    <s v="none"/>
    <s v="10.194463432071304"/>
    <n v="14"/>
    <n v="73"/>
    <n v="64"/>
    <n v="57"/>
  </r>
  <r>
    <s v="female"/>
    <s v="group A"/>
    <x v="4"/>
    <x v="0"/>
    <s v="completed"/>
    <s v="16.476034998410757"/>
    <n v="14"/>
    <n v="75"/>
    <n v="82"/>
    <n v="79"/>
  </r>
  <r>
    <s v="male"/>
    <s v="group B"/>
    <x v="3"/>
    <x v="1"/>
    <s v="completed"/>
    <s v="1.8976846029514927"/>
    <n v="2"/>
    <n v="58"/>
    <n v="57"/>
    <n v="53"/>
  </r>
  <r>
    <s v="female"/>
    <s v="group C"/>
    <x v="3"/>
    <x v="0"/>
    <s v="none"/>
    <s v="8.487780361450207"/>
    <n v="0"/>
    <n v="66"/>
    <n v="77"/>
    <n v="73"/>
  </r>
  <r>
    <s v="female"/>
    <s v="group D"/>
    <x v="4"/>
    <x v="1"/>
    <s v="none"/>
    <s v="11.966121513920376"/>
    <n v="16"/>
    <n v="39"/>
    <n v="52"/>
    <n v="46"/>
  </r>
  <r>
    <s v="male"/>
    <s v="group C"/>
    <x v="5"/>
    <x v="0"/>
    <s v="none"/>
    <s v="12.81420449454443"/>
    <n v="27"/>
    <n v="64"/>
    <n v="58"/>
    <n v="51"/>
  </r>
  <r>
    <s v="female"/>
    <s v="group B"/>
    <x v="4"/>
    <x v="1"/>
    <s v="completed"/>
    <s v="13.661391503802482"/>
    <n v="24"/>
    <n v="23"/>
    <n v="44"/>
    <n v="36"/>
  </r>
  <r>
    <s v="male"/>
    <s v="group B"/>
    <x v="1"/>
    <x v="1"/>
    <s v="completed"/>
    <s v="4.919994806135904"/>
    <n v="7"/>
    <n v="74"/>
    <n v="77"/>
    <n v="76"/>
  </r>
  <r>
    <s v="female"/>
    <s v="group D"/>
    <x v="5"/>
    <x v="1"/>
    <s v="completed"/>
    <s v="3.3074085102637185"/>
    <n v="26"/>
    <n v="40"/>
    <n v="65"/>
    <n v="64"/>
  </r>
  <r>
    <s v="male"/>
    <s v="group E"/>
    <x v="2"/>
    <x v="0"/>
    <s v="none"/>
    <s v="2.337575211818781"/>
    <n v="0"/>
    <n v="90"/>
    <n v="85"/>
    <n v="84"/>
  </r>
  <r>
    <s v="male"/>
    <s v="group C"/>
    <x v="2"/>
    <x v="0"/>
    <s v="completed"/>
    <s v="3.7827739265348015"/>
    <n v="22"/>
    <n v="91"/>
    <n v="85"/>
    <n v="85"/>
  </r>
  <r>
    <s v="male"/>
    <s v="group D"/>
    <x v="4"/>
    <x v="0"/>
    <s v="none"/>
    <s v="1.8207262989088346"/>
    <n v="1"/>
    <n v="64"/>
    <n v="54"/>
    <n v="50"/>
  </r>
  <r>
    <s v="female"/>
    <s v="group C"/>
    <x v="4"/>
    <x v="0"/>
    <s v="none"/>
    <s v="19.278320241463767"/>
    <n v="29"/>
    <n v="59"/>
    <n v="72"/>
    <n v="68"/>
  </r>
  <r>
    <s v="male"/>
    <s v="group D"/>
    <x v="3"/>
    <x v="0"/>
    <s v="none"/>
    <n v="1.5790222E-2"/>
    <n v="24"/>
    <n v="80"/>
    <n v="75"/>
    <n v="69"/>
  </r>
  <r>
    <s v="male"/>
    <s v="group C"/>
    <x v="2"/>
    <x v="0"/>
    <s v="none"/>
    <n v="9.3569836659999996"/>
    <n v="21"/>
    <n v="71"/>
    <n v="67"/>
    <n v="67"/>
  </r>
  <r>
    <s v="female"/>
    <s v="group A"/>
    <x v="4"/>
    <x v="0"/>
    <s v="none"/>
    <s v="7.7410002386977395"/>
    <n v="15"/>
    <n v="61"/>
    <n v="68"/>
    <n v="63"/>
  </r>
  <r>
    <s v="female"/>
    <s v="group E"/>
    <x v="1"/>
    <x v="0"/>
    <s v="none"/>
    <s v="11.426790569061541"/>
    <n v="8"/>
    <n v="87"/>
    <n v="85"/>
    <n v="93"/>
  </r>
  <r>
    <s v="male"/>
    <s v="group E"/>
    <x v="5"/>
    <x v="0"/>
    <s v="none"/>
    <s v="19.243718189836002"/>
    <n v="9"/>
    <n v="82"/>
    <n v="67"/>
    <n v="61"/>
  </r>
  <r>
    <s v="male"/>
    <s v="group C"/>
    <x v="5"/>
    <x v="0"/>
    <s v="none"/>
    <s v="18.079061303797786"/>
    <n v="18"/>
    <n v="62"/>
    <n v="64"/>
    <n v="55"/>
  </r>
  <r>
    <s v="female"/>
    <s v="group B"/>
    <x v="0"/>
    <x v="0"/>
    <s v="none"/>
    <s v="19.972346383287693"/>
    <n v="18"/>
    <n v="97"/>
    <n v="97"/>
    <n v="96"/>
  </r>
  <r>
    <s v="male"/>
    <s v="group B"/>
    <x v="1"/>
    <x v="1"/>
    <s v="none"/>
    <s v="3.533646283526104"/>
    <n v="24"/>
    <n v="75"/>
    <n v="68"/>
    <n v="65"/>
  </r>
  <r>
    <s v="female"/>
    <s v="group C"/>
    <x v="0"/>
    <x v="0"/>
    <s v="none"/>
    <s v="18.061950140986195"/>
    <n v="7"/>
    <n v="65"/>
    <n v="79"/>
    <n v="81"/>
  </r>
  <r>
    <s v="male"/>
    <s v="group B"/>
    <x v="4"/>
    <x v="0"/>
    <s v="completed"/>
    <s v="7.622010272236281"/>
    <n v="18"/>
    <n v="52"/>
    <n v="49"/>
    <n v="46"/>
  </r>
  <r>
    <s v="male"/>
    <s v="group C"/>
    <x v="3"/>
    <x v="1"/>
    <s v="none"/>
    <s v="7.2516642518935415"/>
    <n v="18"/>
    <n v="87"/>
    <n v="73"/>
    <n v="72"/>
  </r>
  <r>
    <s v="female"/>
    <s v="group C"/>
    <x v="3"/>
    <x v="0"/>
    <s v="none"/>
    <s v="3.781553075566977"/>
    <n v="9"/>
    <n v="53"/>
    <n v="62"/>
    <n v="53"/>
  </r>
  <r>
    <s v="female"/>
    <s v="group E"/>
    <x v="2"/>
    <x v="1"/>
    <s v="none"/>
    <s v="10.960429944582701"/>
    <n v="8"/>
    <n v="81"/>
    <n v="86"/>
    <n v="87"/>
  </r>
  <r>
    <s v="male"/>
    <s v="group D"/>
    <x v="0"/>
    <x v="1"/>
    <s v="completed"/>
    <s v="9.435126187817486"/>
    <n v="14"/>
    <n v="39"/>
    <n v="42"/>
    <n v="38"/>
  </r>
  <r>
    <s v="female"/>
    <s v="group C"/>
    <x v="1"/>
    <x v="0"/>
    <s v="completed"/>
    <s v="10.889226642983372"/>
    <n v="25"/>
    <n v="71"/>
    <n v="71"/>
    <n v="80"/>
  </r>
  <r>
    <s v="male"/>
    <s v="group C"/>
    <x v="3"/>
    <x v="0"/>
    <s v="none"/>
    <s v="10.58871481082553"/>
    <n v="15"/>
    <n v="97"/>
    <n v="93"/>
    <n v="91"/>
  </r>
  <r>
    <s v="male"/>
    <s v="group D"/>
    <x v="1"/>
    <x v="0"/>
    <s v="completed"/>
    <s v="2.0150568791915258"/>
    <n v="11"/>
    <n v="82"/>
    <n v="82"/>
    <n v="88"/>
  </r>
  <r>
    <s v="male"/>
    <s v="group C"/>
    <x v="4"/>
    <x v="1"/>
    <s v="none"/>
    <s v="18.179617838297283"/>
    <n v="27"/>
    <n v="59"/>
    <n v="53"/>
    <n v="52"/>
  </r>
  <r>
    <s v="male"/>
    <s v="group B"/>
    <x v="3"/>
    <x v="0"/>
    <s v="none"/>
    <s v="16.007283769106905"/>
    <n v="29"/>
    <n v="61"/>
    <n v="42"/>
    <n v="41"/>
  </r>
  <r>
    <s v="male"/>
    <s v="group E"/>
    <x v="3"/>
    <x v="1"/>
    <s v="completed"/>
    <s v="17.507264798015214"/>
    <n v="9"/>
    <n v="78"/>
    <n v="74"/>
    <n v="72"/>
  </r>
  <r>
    <s v="male"/>
    <s v="group C"/>
    <x v="3"/>
    <x v="1"/>
    <s v="none"/>
    <s v="12.46628867518115"/>
    <n v="10"/>
    <n v="49"/>
    <n v="51"/>
    <n v="51"/>
  </r>
  <r>
    <s v="male"/>
    <s v="group B"/>
    <x v="4"/>
    <x v="0"/>
    <s v="none"/>
    <s v="2.7103374712150807"/>
    <n v="5"/>
    <n v="59"/>
    <n v="58"/>
    <n v="47"/>
  </r>
  <r>
    <s v="female"/>
    <s v="group C"/>
    <x v="1"/>
    <x v="0"/>
    <s v="completed"/>
    <s v="15.457478727637062"/>
    <n v="3"/>
    <n v="70"/>
    <n v="72"/>
    <n v="76"/>
  </r>
  <r>
    <s v="male"/>
    <s v="group B"/>
    <x v="3"/>
    <x v="0"/>
    <s v="completed"/>
    <s v="19.88575971522118"/>
    <n v="2"/>
    <n v="82"/>
    <n v="84"/>
    <n v="78"/>
  </r>
  <r>
    <s v="male"/>
    <s v="group E"/>
    <x v="3"/>
    <x v="1"/>
    <s v="none"/>
    <s v="0.3606401965046002"/>
    <n v="19"/>
    <n v="90"/>
    <n v="90"/>
    <n v="82"/>
  </r>
  <r>
    <s v="female"/>
    <s v="group C"/>
    <x v="0"/>
    <x v="1"/>
    <s v="none"/>
    <n v="8.5745028350000005"/>
    <n v="16"/>
    <n v="43"/>
    <n v="62"/>
    <n v="61"/>
  </r>
  <r>
    <s v="male"/>
    <s v="group C"/>
    <x v="1"/>
    <x v="1"/>
    <s v="none"/>
    <s v="18.144863345541573"/>
    <n v="11"/>
    <n v="80"/>
    <n v="64"/>
    <n v="66"/>
  </r>
  <r>
    <s v="male"/>
    <s v="group D"/>
    <x v="1"/>
    <x v="0"/>
    <s v="none"/>
    <s v="6.024625895878164"/>
    <n v="4"/>
    <n v="81"/>
    <n v="82"/>
    <n v="84"/>
  </r>
  <r>
    <s v="male"/>
    <s v="group C"/>
    <x v="5"/>
    <x v="0"/>
    <s v="none"/>
    <s v="1.7040095511932396"/>
    <n v="1"/>
    <n v="57"/>
    <n v="61"/>
    <n v="54"/>
  </r>
  <r>
    <s v="female"/>
    <s v="group D"/>
    <x v="5"/>
    <x v="0"/>
    <s v="none"/>
    <s v="3.4254682133247916"/>
    <n v="12"/>
    <n v="59"/>
    <n v="72"/>
    <n v="80"/>
  </r>
  <r>
    <s v="female"/>
    <s v="group D"/>
    <x v="3"/>
    <x v="0"/>
    <s v="none"/>
    <s v="5.269468913876965"/>
    <n v="28"/>
    <n v="64"/>
    <n v="76"/>
    <n v="74"/>
  </r>
  <r>
    <s v="male"/>
    <s v="group C"/>
    <x v="0"/>
    <x v="0"/>
    <s v="completed"/>
    <s v="7.886822927013286"/>
    <n v="26"/>
    <n v="63"/>
    <n v="64"/>
    <n v="66"/>
  </r>
  <r>
    <s v="female"/>
    <s v="group E"/>
    <x v="0"/>
    <x v="0"/>
    <s v="completed"/>
    <s v="17.067914670738833"/>
    <n v="14"/>
    <n v="71"/>
    <n v="70"/>
    <n v="70"/>
  </r>
  <r>
    <s v="female"/>
    <s v="group B"/>
    <x v="4"/>
    <x v="1"/>
    <s v="none"/>
    <s v="11.468032517954077"/>
    <n v="14"/>
    <n v="64"/>
    <n v="73"/>
    <n v="71"/>
  </r>
  <r>
    <s v="male"/>
    <s v="group D"/>
    <x v="0"/>
    <x v="1"/>
    <s v="none"/>
    <s v="8.070972416273767"/>
    <n v="29"/>
    <n v="55"/>
    <n v="46"/>
    <n v="44"/>
  </r>
  <r>
    <s v="female"/>
    <s v="group E"/>
    <x v="3"/>
    <x v="0"/>
    <s v="none"/>
    <s v="16.214413458903497"/>
    <n v="23"/>
    <n v="51"/>
    <n v="51"/>
    <n v="54"/>
  </r>
  <r>
    <s v="female"/>
    <s v="group C"/>
    <x v="3"/>
    <x v="0"/>
    <s v="completed"/>
    <s v="3.4714428830287947"/>
    <n v="24"/>
    <n v="62"/>
    <n v="76"/>
    <n v="80"/>
  </r>
  <r>
    <s v="female"/>
    <s v="group E"/>
    <x v="3"/>
    <x v="0"/>
    <s v="completed"/>
    <s v="0.8953677737697374"/>
    <n v="13"/>
    <n v="93"/>
    <n v="100"/>
    <n v="95"/>
  </r>
  <r>
    <s v="male"/>
    <s v="group C"/>
    <x v="4"/>
    <x v="1"/>
    <s v="none"/>
    <s v="15.532136795927812"/>
    <n v="29"/>
    <n v="54"/>
    <n v="72"/>
    <n v="59"/>
  </r>
  <r>
    <s v="female"/>
    <s v="group D"/>
    <x v="1"/>
    <x v="1"/>
    <s v="none"/>
    <s v="3.1447133018846696"/>
    <n v="23"/>
    <n v="69"/>
    <n v="65"/>
    <n v="74"/>
  </r>
  <r>
    <s v="male"/>
    <s v="group D"/>
    <x v="4"/>
    <x v="1"/>
    <s v="none"/>
    <s v="8.998255621710108"/>
    <n v="12"/>
    <n v="44"/>
    <n v="51"/>
    <n v="48"/>
  </r>
  <r>
    <s v="female"/>
    <s v="group E"/>
    <x v="1"/>
    <x v="0"/>
    <s v="completed"/>
    <n v="9.7493567090000006"/>
    <n v="7"/>
    <n v="86"/>
    <n v="85"/>
    <n v="91"/>
  </r>
  <r>
    <s v="female"/>
    <s v="group E"/>
    <x v="3"/>
    <x v="0"/>
    <s v="none"/>
    <s v="7.9617435647246175"/>
    <n v="5"/>
    <n v="85"/>
    <n v="92"/>
    <n v="85"/>
  </r>
  <r>
    <s v="female"/>
    <s v="group A"/>
    <x v="2"/>
    <x v="1"/>
    <s v="none"/>
    <s v="7.937787861780792"/>
    <n v="7"/>
    <n v="50"/>
    <n v="67"/>
    <n v="73"/>
  </r>
  <r>
    <s v="male"/>
    <s v="group D"/>
    <x v="5"/>
    <x v="0"/>
    <s v="completed"/>
    <s v="5.708105806056832"/>
    <n v="13"/>
    <n v="88"/>
    <n v="74"/>
    <n v="75"/>
  </r>
  <r>
    <s v="female"/>
    <s v="group E"/>
    <x v="3"/>
    <x v="0"/>
    <s v="none"/>
    <n v="12.84556327"/>
    <n v="20"/>
    <n v="59"/>
    <n v="62"/>
    <n v="69"/>
  </r>
  <r>
    <s v="female"/>
    <s v="group E"/>
    <x v="5"/>
    <x v="1"/>
    <s v="none"/>
    <s v="17.998190867093435"/>
    <n v="5"/>
    <n v="32"/>
    <n v="34"/>
    <n v="38"/>
  </r>
  <r>
    <s v="male"/>
    <s v="group B"/>
    <x v="4"/>
    <x v="1"/>
    <s v="none"/>
    <s v="18.807940678910885"/>
    <n v="9"/>
    <n v="36"/>
    <n v="29"/>
    <n v="27"/>
  </r>
  <r>
    <s v="female"/>
    <s v="group B"/>
    <x v="5"/>
    <x v="1"/>
    <s v="completed"/>
    <s v="17.75635280671638"/>
    <n v="23"/>
    <n v="63"/>
    <n v="78"/>
    <n v="79"/>
  </r>
  <r>
    <s v="male"/>
    <s v="group D"/>
    <x v="3"/>
    <x v="0"/>
    <s v="completed"/>
    <n v="7.6706902489999997"/>
    <n v="5"/>
    <n v="67"/>
    <n v="54"/>
    <n v="63"/>
  </r>
  <r>
    <s v="female"/>
    <s v="group D"/>
    <x v="5"/>
    <x v="0"/>
    <s v="completed"/>
    <s v="8.132730537699409"/>
    <n v="17"/>
    <n v="65"/>
    <n v="78"/>
    <n v="82"/>
  </r>
  <r>
    <s v="male"/>
    <s v="group D"/>
    <x v="2"/>
    <x v="0"/>
    <s v="none"/>
    <s v="9.925902510012794"/>
    <n v="6"/>
    <n v="85"/>
    <n v="84"/>
    <n v="89"/>
  </r>
  <r>
    <s v="female"/>
    <s v="group C"/>
    <x v="2"/>
    <x v="0"/>
    <s v="none"/>
    <s v="12.932422673151107"/>
    <n v="17"/>
    <n v="73"/>
    <n v="78"/>
    <n v="74"/>
  </r>
  <r>
    <s v="female"/>
    <s v="group A"/>
    <x v="4"/>
    <x v="1"/>
    <s v="completed"/>
    <s v="13.434896809549668"/>
    <n v="4"/>
    <n v="34"/>
    <n v="48"/>
    <n v="41"/>
  </r>
  <r>
    <s v="female"/>
    <s v="group D"/>
    <x v="0"/>
    <x v="1"/>
    <s v="completed"/>
    <s v="13.24743719825507"/>
    <n v="10"/>
    <n v="93"/>
    <n v="100"/>
    <n v="100"/>
  </r>
  <r>
    <s v="female"/>
    <s v="group D"/>
    <x v="5"/>
    <x v="1"/>
    <s v="none"/>
    <s v="10.856827486681492"/>
    <n v="0"/>
    <n v="67"/>
    <n v="84"/>
    <n v="84"/>
  </r>
  <r>
    <s v="male"/>
    <s v="group D"/>
    <x v="1"/>
    <x v="0"/>
    <s v="none"/>
    <s v="16.45776136587004"/>
    <n v="16"/>
    <n v="88"/>
    <n v="77"/>
    <n v="77"/>
  </r>
  <r>
    <s v="male"/>
    <s v="group B"/>
    <x v="4"/>
    <x v="0"/>
    <s v="none"/>
    <s v="18.92757306716742"/>
    <n v="10"/>
    <n v="57"/>
    <n v="48"/>
    <n v="51"/>
  </r>
  <r>
    <s v="female"/>
    <s v="group D"/>
    <x v="1"/>
    <x v="0"/>
    <s v="completed"/>
    <s v="14.613580230567804"/>
    <n v="25"/>
    <n v="79"/>
    <n v="84"/>
    <n v="91"/>
  </r>
  <r>
    <s v="female"/>
    <s v="group C"/>
    <x v="0"/>
    <x v="1"/>
    <s v="none"/>
    <s v="18.85825422783513"/>
    <n v="8"/>
    <n v="67"/>
    <n v="75"/>
    <n v="72"/>
  </r>
  <r>
    <s v="male"/>
    <s v="group E"/>
    <x v="0"/>
    <x v="0"/>
    <s v="completed"/>
    <s v="9.705614342203965"/>
    <n v="23"/>
    <n v="70"/>
    <n v="64"/>
    <n v="70"/>
  </r>
  <r>
    <s v="male"/>
    <s v="group D"/>
    <x v="0"/>
    <x v="1"/>
    <s v="none"/>
    <s v="13.370933902279706"/>
    <n v="6"/>
    <n v="50"/>
    <n v="42"/>
    <n v="48"/>
  </r>
  <r>
    <s v="female"/>
    <s v="group A"/>
    <x v="1"/>
    <x v="0"/>
    <s v="none"/>
    <s v="2.695715698348762"/>
    <n v="8"/>
    <n v="69"/>
    <n v="84"/>
    <n v="82"/>
  </r>
  <r>
    <s v="female"/>
    <s v="group C"/>
    <x v="0"/>
    <x v="0"/>
    <s v="completed"/>
    <s v="0.1940070984608444"/>
    <n v="18"/>
    <n v="52"/>
    <n v="61"/>
    <n v="66"/>
  </r>
  <r>
    <s v="female"/>
    <s v="group C"/>
    <x v="0"/>
    <x v="1"/>
    <s v="completed"/>
    <s v="12.233113512920282"/>
    <n v="21"/>
    <n v="47"/>
    <n v="62"/>
    <n v="66"/>
  </r>
  <r>
    <s v="female"/>
    <s v="group B"/>
    <x v="3"/>
    <x v="1"/>
    <s v="none"/>
    <s v="13.363613239158102"/>
    <n v="2"/>
    <n v="46"/>
    <n v="61"/>
    <n v="55"/>
  </r>
  <r>
    <s v="female"/>
    <s v="group E"/>
    <x v="1"/>
    <x v="0"/>
    <s v="none"/>
    <s v="17.622102967131315"/>
    <n v="8"/>
    <n v="68"/>
    <n v="70"/>
    <n v="66"/>
  </r>
  <r>
    <s v="male"/>
    <s v="group E"/>
    <x v="0"/>
    <x v="0"/>
    <s v="completed"/>
    <n v="9.3969086999999991"/>
    <n v="13"/>
    <n v="100"/>
    <n v="100"/>
    <n v="100"/>
  </r>
  <r>
    <s v="female"/>
    <s v="group C"/>
    <x v="4"/>
    <x v="0"/>
    <s v="none"/>
    <s v="10.978650489986752"/>
    <n v="17"/>
    <n v="44"/>
    <n v="61"/>
    <n v="52"/>
  </r>
  <r>
    <s v="female"/>
    <s v="group C"/>
    <x v="3"/>
    <x v="0"/>
    <s v="completed"/>
    <s v="15.14938101446206"/>
    <n v="16"/>
    <n v="57"/>
    <n v="77"/>
    <n v="80"/>
  </r>
  <r>
    <s v="male"/>
    <s v="group B"/>
    <x v="1"/>
    <x v="0"/>
    <s v="completed"/>
    <s v="17.698534936899332"/>
    <n v="14"/>
    <n v="91"/>
    <n v="96"/>
    <n v="91"/>
  </r>
  <r>
    <s v="male"/>
    <s v="group D"/>
    <x v="4"/>
    <x v="1"/>
    <s v="none"/>
    <s v="4.452984704535707"/>
    <n v="6"/>
    <n v="69"/>
    <n v="70"/>
    <n v="67"/>
  </r>
  <r>
    <s v="female"/>
    <s v="group C"/>
    <x v="4"/>
    <x v="1"/>
    <s v="none"/>
    <s v="15.048184664240186"/>
    <n v="9"/>
    <n v="35"/>
    <n v="53"/>
    <n v="46"/>
  </r>
  <r>
    <s v="male"/>
    <s v="group D"/>
    <x v="4"/>
    <x v="0"/>
    <s v="none"/>
    <s v="1.5018729161062794"/>
    <n v="16"/>
    <n v="72"/>
    <n v="66"/>
    <n v="66"/>
  </r>
  <r>
    <s v="female"/>
    <s v="group B"/>
    <x v="3"/>
    <x v="1"/>
    <s v="none"/>
    <s v="13.924428722425448"/>
    <n v="20"/>
    <n v="54"/>
    <n v="65"/>
    <n v="65"/>
  </r>
  <r>
    <s v="male"/>
    <s v="group D"/>
    <x v="4"/>
    <x v="1"/>
    <s v="none"/>
    <s v="17.514340731178788"/>
    <n v="17"/>
    <n v="74"/>
    <n v="70"/>
    <n v="69"/>
  </r>
  <r>
    <s v="male"/>
    <s v="group E"/>
    <x v="5"/>
    <x v="0"/>
    <s v="completed"/>
    <s v="6.386337600427481"/>
    <n v="27"/>
    <n v="74"/>
    <n v="64"/>
    <n v="60"/>
  </r>
  <r>
    <s v="male"/>
    <s v="group E"/>
    <x v="3"/>
    <x v="1"/>
    <s v="none"/>
    <s v="12.07510287675226"/>
    <n v="8"/>
    <n v="64"/>
    <n v="56"/>
    <n v="52"/>
  </r>
  <r>
    <s v="female"/>
    <s v="group D"/>
    <x v="4"/>
    <x v="1"/>
    <s v="completed"/>
    <s v="13.600921127485396"/>
    <n v="22"/>
    <n v="65"/>
    <n v="61"/>
    <n v="71"/>
  </r>
  <r>
    <s v="male"/>
    <s v="group E"/>
    <x v="3"/>
    <x v="1"/>
    <s v="completed"/>
    <s v="6.064390934371824"/>
    <n v="24"/>
    <n v="46"/>
    <n v="43"/>
    <n v="44"/>
  </r>
  <r>
    <s v="female"/>
    <s v="group C"/>
    <x v="5"/>
    <x v="1"/>
    <s v="none"/>
    <s v="5.592028652902636"/>
    <n v="19"/>
    <n v="48"/>
    <n v="56"/>
    <n v="51"/>
  </r>
  <r>
    <s v="male"/>
    <s v="group C"/>
    <x v="1"/>
    <x v="1"/>
    <s v="completed"/>
    <s v="6.838689871494532"/>
    <n v="28"/>
    <n v="67"/>
    <n v="74"/>
    <n v="70"/>
  </r>
  <r>
    <s v="male"/>
    <s v="group D"/>
    <x v="1"/>
    <x v="1"/>
    <s v="none"/>
    <s v="5.577438525219298"/>
    <n v="19"/>
    <n v="62"/>
    <n v="57"/>
    <n v="62"/>
  </r>
  <r>
    <s v="male"/>
    <s v="group D"/>
    <x v="3"/>
    <x v="1"/>
    <s v="completed"/>
    <s v="11.51002036938118"/>
    <n v="19"/>
    <n v="61"/>
    <n v="71"/>
    <n v="73"/>
  </r>
  <r>
    <s v="male"/>
    <s v="group C"/>
    <x v="0"/>
    <x v="1"/>
    <s v="completed"/>
    <s v="10.251524318484233"/>
    <n v="14"/>
    <n v="70"/>
    <n v="75"/>
    <n v="74"/>
  </r>
  <r>
    <s v="male"/>
    <s v="group C"/>
    <x v="3"/>
    <x v="0"/>
    <s v="completed"/>
    <s v="17.314544742135872"/>
    <n v="29"/>
    <n v="98"/>
    <n v="87"/>
    <n v="90"/>
  </r>
  <r>
    <s v="male"/>
    <s v="group D"/>
    <x v="1"/>
    <x v="1"/>
    <s v="none"/>
    <s v="16.583635598998356"/>
    <n v="23"/>
    <n v="70"/>
    <n v="63"/>
    <n v="58"/>
  </r>
  <r>
    <s v="male"/>
    <s v="group A"/>
    <x v="3"/>
    <x v="0"/>
    <s v="none"/>
    <s v="10.064384143659241"/>
    <n v="28"/>
    <n v="67"/>
    <n v="57"/>
    <n v="53"/>
  </r>
  <r>
    <s v="female"/>
    <s v="group E"/>
    <x v="4"/>
    <x v="1"/>
    <s v="none"/>
    <s v="1.8657476944393703"/>
    <n v="21"/>
    <n v="57"/>
    <n v="58"/>
    <n v="57"/>
  </r>
  <r>
    <s v="male"/>
    <s v="group D"/>
    <x v="1"/>
    <x v="0"/>
    <s v="completed"/>
    <s v="5.407664706213127"/>
    <n v="26"/>
    <n v="85"/>
    <n v="81"/>
    <n v="85"/>
  </r>
  <r>
    <s v="male"/>
    <s v="group D"/>
    <x v="5"/>
    <x v="0"/>
    <s v="completed"/>
    <s v="19.978093995261535"/>
    <n v="17"/>
    <n v="77"/>
    <n v="68"/>
    <n v="69"/>
  </r>
  <r>
    <s v="male"/>
    <s v="group C"/>
    <x v="2"/>
    <x v="1"/>
    <s v="completed"/>
    <s v="2.6520798149362212"/>
    <n v="20"/>
    <n v="72"/>
    <n v="66"/>
    <n v="72"/>
  </r>
  <r>
    <s v="female"/>
    <s v="group D"/>
    <x v="2"/>
    <x v="0"/>
    <s v="none"/>
    <s v="14.572303135855538"/>
    <n v="6"/>
    <n v="78"/>
    <n v="91"/>
    <n v="96"/>
  </r>
  <r>
    <s v="male"/>
    <s v="group C"/>
    <x v="4"/>
    <x v="0"/>
    <s v="none"/>
    <s v="10.646087276963325"/>
    <n v="3"/>
    <n v="81"/>
    <n v="66"/>
    <n v="64"/>
  </r>
  <r>
    <s v="male"/>
    <s v="group A"/>
    <x v="5"/>
    <x v="1"/>
    <s v="completed"/>
    <s v="6.890117867881265"/>
    <n v="11"/>
    <n v="61"/>
    <n v="62"/>
    <n v="61"/>
  </r>
  <r>
    <s v="female"/>
    <s v="group B"/>
    <x v="4"/>
    <x v="0"/>
    <s v="none"/>
    <s v="2.2677419110514507"/>
    <n v="2"/>
    <n v="58"/>
    <n v="68"/>
    <n v="61"/>
  </r>
  <r>
    <s v="female"/>
    <s v="group C"/>
    <x v="3"/>
    <x v="0"/>
    <s v="none"/>
    <s v="15.38339739047175"/>
    <n v="19"/>
    <n v="54"/>
    <n v="61"/>
    <n v="58"/>
  </r>
  <r>
    <s v="male"/>
    <s v="group B"/>
    <x v="4"/>
    <x v="0"/>
    <s v="none"/>
    <s v="13.360389050251198"/>
    <n v="16"/>
    <n v="82"/>
    <n v="82"/>
    <n v="80"/>
  </r>
  <r>
    <s v="female"/>
    <s v="group D"/>
    <x v="1"/>
    <x v="1"/>
    <s v="none"/>
    <s v="3.7872175158372556"/>
    <n v="2"/>
    <n v="49"/>
    <n v="58"/>
    <n v="60"/>
  </r>
  <r>
    <s v="male"/>
    <s v="group B"/>
    <x v="5"/>
    <x v="1"/>
    <s v="completed"/>
    <s v="8.491452143719112"/>
    <n v="12"/>
    <n v="49"/>
    <n v="50"/>
    <n v="52"/>
  </r>
  <r>
    <s v="female"/>
    <s v="group E"/>
    <x v="4"/>
    <x v="1"/>
    <s v="completed"/>
    <s v="18.948559961195862"/>
    <n v="22"/>
    <n v="57"/>
    <n v="75"/>
    <n v="73"/>
  </r>
  <r>
    <s v="male"/>
    <s v="group E"/>
    <x v="4"/>
    <x v="0"/>
    <s v="none"/>
    <s v="19.12039420973134"/>
    <n v="21"/>
    <n v="94"/>
    <n v="73"/>
    <n v="71"/>
  </r>
  <r>
    <s v="female"/>
    <s v="group D"/>
    <x v="1"/>
    <x v="0"/>
    <s v="completed"/>
    <s v="13.098142462957181"/>
    <n v="23"/>
    <n v="75"/>
    <n v="77"/>
    <n v="83"/>
  </r>
  <r>
    <s v="female"/>
    <s v="group E"/>
    <x v="5"/>
    <x v="1"/>
    <s v="none"/>
    <s v="3.2499683094888288"/>
    <n v="22"/>
    <n v="74"/>
    <n v="74"/>
    <n v="72"/>
  </r>
  <r>
    <s v="male"/>
    <s v="group C"/>
    <x v="4"/>
    <x v="0"/>
    <s v="completed"/>
    <s v="13.812306247732726"/>
    <n v="13"/>
    <n v="58"/>
    <n v="52"/>
    <n v="54"/>
  </r>
  <r>
    <s v="female"/>
    <s v="group C"/>
    <x v="1"/>
    <x v="0"/>
    <s v="none"/>
    <s v="11.872210888928286"/>
    <n v="9"/>
    <n v="62"/>
    <n v="69"/>
    <n v="69"/>
  </r>
  <r>
    <s v="male"/>
    <s v="group E"/>
    <x v="3"/>
    <x v="0"/>
    <s v="none"/>
    <s v="6.172652970479014"/>
    <n v="19"/>
    <n v="72"/>
    <n v="57"/>
    <n v="62"/>
  </r>
  <r>
    <s v="male"/>
    <s v="group C"/>
    <x v="1"/>
    <x v="0"/>
    <s v="none"/>
    <s v="11.406250156530078"/>
    <n v="29"/>
    <n v="84"/>
    <n v="87"/>
    <n v="81"/>
  </r>
  <r>
    <s v="female"/>
    <s v="group D"/>
    <x v="2"/>
    <x v="0"/>
    <s v="none"/>
    <s v="10.34241776226661"/>
    <n v="26"/>
    <n v="92"/>
    <n v="100"/>
    <n v="100"/>
  </r>
  <r>
    <s v="female"/>
    <s v="group D"/>
    <x v="4"/>
    <x v="0"/>
    <s v="none"/>
    <s v="10.254997995878592"/>
    <n v="11"/>
    <n v="45"/>
    <n v="63"/>
    <n v="59"/>
  </r>
  <r>
    <s v="male"/>
    <s v="group C"/>
    <x v="4"/>
    <x v="0"/>
    <s v="none"/>
    <s v="3.9674507969540262"/>
    <n v="28"/>
    <n v="75"/>
    <n v="81"/>
    <n v="71"/>
  </r>
  <r>
    <s v="female"/>
    <s v="group A"/>
    <x v="1"/>
    <x v="0"/>
    <s v="none"/>
    <n v="7.2779881299999998"/>
    <n v="20"/>
    <n v="56"/>
    <n v="58"/>
    <n v="64"/>
  </r>
  <r>
    <s v="female"/>
    <s v="group D"/>
    <x v="5"/>
    <x v="1"/>
    <s v="none"/>
    <s v="4.1604912546649775"/>
    <n v="29"/>
    <n v="48"/>
    <n v="54"/>
    <n v="53"/>
  </r>
  <r>
    <s v="female"/>
    <s v="group E"/>
    <x v="3"/>
    <x v="0"/>
    <s v="none"/>
    <s v="6.5749197669921315"/>
    <n v="11"/>
    <n v="100"/>
    <n v="100"/>
    <n v="100"/>
  </r>
  <r>
    <s v="female"/>
    <s v="group C"/>
    <x v="5"/>
    <x v="1"/>
    <s v="completed"/>
    <s v="9.219391844250794"/>
    <n v="6"/>
    <n v="65"/>
    <n v="76"/>
    <n v="75"/>
  </r>
  <r>
    <s v="male"/>
    <s v="group D"/>
    <x v="1"/>
    <x v="0"/>
    <s v="none"/>
    <s v="16.028336218172544"/>
    <n v="23"/>
    <n v="72"/>
    <n v="57"/>
    <n v="58"/>
  </r>
  <r>
    <s v="female"/>
    <s v="group D"/>
    <x v="1"/>
    <x v="0"/>
    <s v="none"/>
    <s v="9.766698260086692"/>
    <n v="0"/>
    <n v="62"/>
    <n v="70"/>
    <n v="72"/>
  </r>
  <r>
    <s v="male"/>
    <s v="group A"/>
    <x v="5"/>
    <x v="0"/>
    <s v="completed"/>
    <s v="5.638591035031215"/>
    <n v="19"/>
    <n v="66"/>
    <n v="68"/>
    <n v="64"/>
  </r>
  <r>
    <s v="male"/>
    <s v="group C"/>
    <x v="1"/>
    <x v="0"/>
    <s v="none"/>
    <s v="12.498875408156639"/>
    <n v="8"/>
    <n v="63"/>
    <n v="63"/>
    <n v="60"/>
  </r>
  <r>
    <s v="female"/>
    <s v="group E"/>
    <x v="3"/>
    <x v="0"/>
    <s v="none"/>
    <s v="9.213699469642675"/>
    <n v="25"/>
    <n v="68"/>
    <n v="76"/>
    <n v="67"/>
  </r>
  <r>
    <s v="female"/>
    <s v="group B"/>
    <x v="0"/>
    <x v="0"/>
    <s v="none"/>
    <s v="1.517432824480951"/>
    <n v="6"/>
    <n v="75"/>
    <n v="84"/>
    <n v="80"/>
  </r>
  <r>
    <s v="female"/>
    <s v="group D"/>
    <x v="0"/>
    <x v="0"/>
    <s v="none"/>
    <s v="16.117823383937086"/>
    <n v="22"/>
    <n v="89"/>
    <n v="100"/>
    <n v="100"/>
  </r>
  <r>
    <s v="male"/>
    <s v="group C"/>
    <x v="5"/>
    <x v="0"/>
    <s v="completed"/>
    <s v="13.183110892002688"/>
    <n v="21"/>
    <n v="78"/>
    <n v="72"/>
    <n v="69"/>
  </r>
  <r>
    <s v="female"/>
    <s v="group A"/>
    <x v="4"/>
    <x v="1"/>
    <s v="completed"/>
    <s v="2.5406715194646345"/>
    <n v="14"/>
    <n v="53"/>
    <n v="50"/>
    <n v="60"/>
  </r>
  <r>
    <s v="female"/>
    <s v="group D"/>
    <x v="1"/>
    <x v="1"/>
    <s v="none"/>
    <s v="7.156823172830665"/>
    <n v="27"/>
    <n v="49"/>
    <n v="65"/>
    <n v="61"/>
  </r>
  <r>
    <s v="female"/>
    <s v="group A"/>
    <x v="1"/>
    <x v="0"/>
    <s v="none"/>
    <s v="8.674474056628421"/>
    <n v="13"/>
    <n v="54"/>
    <n v="63"/>
    <n v="67"/>
  </r>
  <r>
    <s v="female"/>
    <s v="group C"/>
    <x v="1"/>
    <x v="0"/>
    <s v="completed"/>
    <s v="13.01213046504207"/>
    <n v="13"/>
    <n v="64"/>
    <n v="82"/>
    <n v="77"/>
  </r>
  <r>
    <s v="male"/>
    <s v="group B"/>
    <x v="1"/>
    <x v="1"/>
    <s v="completed"/>
    <s v="13.098822091346431"/>
    <n v="14"/>
    <n v="60"/>
    <n v="62"/>
    <n v="60"/>
  </r>
  <r>
    <s v="male"/>
    <s v="group C"/>
    <x v="3"/>
    <x v="0"/>
    <s v="none"/>
    <s v="14.082087215432736"/>
    <n v="1"/>
    <n v="62"/>
    <n v="65"/>
    <n v="58"/>
  </r>
  <r>
    <s v="male"/>
    <s v="group D"/>
    <x v="4"/>
    <x v="0"/>
    <s v="completed"/>
    <s v="17.284612045231142"/>
    <n v="5"/>
    <n v="55"/>
    <n v="41"/>
    <n v="48"/>
  </r>
  <r>
    <s v="female"/>
    <s v="group C"/>
    <x v="3"/>
    <x v="0"/>
    <s v="none"/>
    <s v="8.094117486583404"/>
    <n v="8"/>
    <n v="91"/>
    <n v="95"/>
    <n v="94"/>
  </r>
  <r>
    <s v="female"/>
    <s v="group B"/>
    <x v="4"/>
    <x v="1"/>
    <s v="none"/>
    <n v="8.7191598999999995E-2"/>
    <n v="6"/>
    <n v="8"/>
    <n v="24"/>
    <n v="23"/>
  </r>
  <r>
    <s v="male"/>
    <s v="group D"/>
    <x v="5"/>
    <x v="0"/>
    <s v="none"/>
    <s v="16.643249074582368"/>
    <n v="16"/>
    <n v="81"/>
    <n v="78"/>
    <n v="78"/>
  </r>
  <r>
    <s v="male"/>
    <s v="group B"/>
    <x v="5"/>
    <x v="0"/>
    <s v="completed"/>
    <s v="5.7373374996558795"/>
    <n v="8"/>
    <n v="79"/>
    <n v="85"/>
    <n v="86"/>
  </r>
  <r>
    <s v="female"/>
    <s v="group A"/>
    <x v="1"/>
    <x v="0"/>
    <s v="completed"/>
    <s v="3.480208960322484"/>
    <n v="1"/>
    <n v="78"/>
    <n v="87"/>
    <n v="91"/>
  </r>
  <r>
    <s v="female"/>
    <s v="group C"/>
    <x v="5"/>
    <x v="0"/>
    <s v="none"/>
    <s v="5.499583839472804"/>
    <n v="0"/>
    <n v="74"/>
    <n v="75"/>
    <n v="82"/>
  </r>
  <r>
    <s v="male"/>
    <s v="group A"/>
    <x v="4"/>
    <x v="0"/>
    <s v="none"/>
    <s v="6.265014809776439"/>
    <n v="20"/>
    <n v="57"/>
    <n v="51"/>
    <n v="54"/>
  </r>
  <r>
    <s v="female"/>
    <s v="group C"/>
    <x v="3"/>
    <x v="0"/>
    <s v="none"/>
    <s v="8.560387048792876"/>
    <n v="3"/>
    <n v="40"/>
    <n v="59"/>
    <n v="51"/>
  </r>
  <r>
    <s v="male"/>
    <s v="group E"/>
    <x v="5"/>
    <x v="0"/>
    <s v="completed"/>
    <s v="15.450451835250888"/>
    <n v="27"/>
    <n v="81"/>
    <n v="75"/>
    <n v="76"/>
  </r>
  <r>
    <s v="female"/>
    <s v="group A"/>
    <x v="5"/>
    <x v="1"/>
    <s v="none"/>
    <s v="11.851363655296536"/>
    <n v="11"/>
    <n v="44"/>
    <n v="45"/>
    <n v="45"/>
  </r>
  <r>
    <s v="female"/>
    <s v="group D"/>
    <x v="1"/>
    <x v="1"/>
    <s v="completed"/>
    <s v="1.9225170346430298"/>
    <n v="7"/>
    <n v="67"/>
    <n v="86"/>
    <n v="83"/>
  </r>
  <r>
    <s v="male"/>
    <s v="group E"/>
    <x v="4"/>
    <x v="1"/>
    <s v="completed"/>
    <s v="10.367992532661303"/>
    <n v="2"/>
    <n v="86"/>
    <n v="81"/>
    <n v="75"/>
  </r>
  <r>
    <s v="female"/>
    <s v="group B"/>
    <x v="5"/>
    <x v="0"/>
    <s v="completed"/>
    <s v="15.015804623595754"/>
    <n v="11"/>
    <n v="65"/>
    <n v="82"/>
    <n v="78"/>
  </r>
  <r>
    <s v="female"/>
    <s v="group D"/>
    <x v="3"/>
    <x v="1"/>
    <s v="none"/>
    <s v="10.871911498225842"/>
    <n v="15"/>
    <n v="55"/>
    <n v="76"/>
    <n v="76"/>
  </r>
  <r>
    <s v="female"/>
    <s v="group D"/>
    <x v="0"/>
    <x v="1"/>
    <s v="none"/>
    <s v="1.265253436413496"/>
    <n v="2"/>
    <n v="62"/>
    <n v="72"/>
    <n v="74"/>
  </r>
  <r>
    <s v="male"/>
    <s v="group A"/>
    <x v="4"/>
    <x v="0"/>
    <s v="none"/>
    <s v="5.2973251562714285"/>
    <n v="23"/>
    <n v="63"/>
    <n v="63"/>
    <n v="62"/>
  </r>
  <r>
    <s v="female"/>
    <s v="group E"/>
    <x v="2"/>
    <x v="0"/>
    <s v="completed"/>
    <s v="17.18869165667102"/>
    <n v="4"/>
    <n v="88"/>
    <n v="99"/>
    <n v="95"/>
  </r>
  <r>
    <s v="male"/>
    <s v="group C"/>
    <x v="4"/>
    <x v="1"/>
    <s v="none"/>
    <s v="17.900677177068737"/>
    <n v="12"/>
    <n v="62"/>
    <n v="55"/>
    <n v="55"/>
  </r>
  <r>
    <s v="female"/>
    <s v="group C"/>
    <x v="4"/>
    <x v="1"/>
    <s v="completed"/>
    <s v="1.938346541339897"/>
    <n v="5"/>
    <n v="59"/>
    <n v="71"/>
    <n v="65"/>
  </r>
  <r>
    <s v="female"/>
    <s v="group D"/>
    <x v="1"/>
    <x v="0"/>
    <s v="completed"/>
    <s v="1.7554582824688114"/>
    <n v="5"/>
    <n v="68"/>
    <n v="78"/>
    <n v="7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1"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2A992-6E88-4551-8824-DAD4E36C0464}" name="PivotTable10" cacheId="7103" applyNumberFormats="0" applyBorderFormats="0" applyFontFormats="0" applyPatternFormats="0" applyAlignmentFormats="0" applyWidthHeightFormats="1" dataCaption="Values" updatedVersion="8" minRefreshableVersion="3" useAutoFormatting="1" itemPrintTitles="1" mergeItem="1" createdVersion="8" indent="0" outline="1" outlineData="1" multipleFieldFilters="0">
  <location ref="N14:O21" firstHeaderRow="1" firstDataRow="1" firstDataCol="1"/>
  <pivotFields count="10">
    <pivotField showAll="0"/>
    <pivotField showAll="0"/>
    <pivotField axis="axisRow" dataField="1" showAll="0">
      <items count="7">
        <item x="3"/>
        <item x="0"/>
        <item x="4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rental level of education" fld="2" subtotal="count" baseField="0" baseItem="0"/>
  </dataFields>
  <formats count="1">
    <format dxfId="0">
      <pivotArea field="2" type="button" dataOnly="0" labelOnly="1" outline="0" axis="axisRow" fieldPosition="0"/>
    </format>
  </formats>
  <chartFormats count="7">
    <chartFormat chart="0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9F9C4-3B53-41EA-9245-DB1184DC32EC}" name="PivotTable11" cacheId="7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39:O42" firstHeaderRow="1" firstDataRow="1" firstDataCol="1"/>
  <pivotFields count="10"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lunch" fld="3" subtotal="count" baseField="0" baseItem="0"/>
  </dataFields>
  <chartFormats count="3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DDF539-B314-4E2F-B576-2C40BBEE4775}" name="PivotTable1" cacheId="71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60:O63" firstHeaderRow="1" firstDataRow="1" firstDataCol="1"/>
  <pivotFields count="1">
    <pivotField axis="axisRow"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male" fld="0" subtotal="count" baseField="0" baseItem="0"/>
  </dataFields>
  <chartFormats count="3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58C6EA-0FD6-4922-A7F2-6055660A7BF3}" name="PivotTable1" cacheId="710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5:D21" firstHeaderRow="0" firstDataRow="1" firstDataCol="1" rowPageCount="3" colPageCount="1"/>
  <pivotFields count="8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2" hier="2" name="[Range].[parental level of education].[All]" cap="All"/>
    <pageField fld="3" hier="3" name="[Range].[lunch].[All]" cap="All"/>
    <pageField fld="4" hier="4" name="[Range].[test preparation course].[All]" cap="All"/>
  </pageFields>
  <dataFields count="3">
    <dataField name="Sum of math score" fld="5" baseField="0" baseItem="0"/>
    <dataField name="Sum of writing score" fld="7" baseField="0" baseItem="0"/>
    <dataField name="Sum of reading score" fld="6" baseField="0" baseItem="0"/>
  </dataField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$1:$H$10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1C18B-885E-4B1F-BD05-006B01B99F8C}">
  <dimension ref="A1:X1001"/>
  <sheetViews>
    <sheetView topLeftCell="F1" zoomScale="106" workbookViewId="0">
      <selection activeCell="O14" sqref="O14"/>
    </sheetView>
  </sheetViews>
  <sheetFormatPr defaultColWidth="8.85546875" defaultRowHeight="15"/>
  <cols>
    <col min="2" max="2" width="13.42578125" bestFit="1" customWidth="1"/>
    <col min="3" max="3" width="23.42578125" bestFit="1" customWidth="1"/>
    <col min="4" max="4" width="11.5703125" bestFit="1" customWidth="1"/>
    <col min="5" max="5" width="20.85546875" customWidth="1"/>
    <col min="6" max="6" width="21.28515625" bestFit="1" customWidth="1"/>
    <col min="7" max="7" width="9" bestFit="1" customWidth="1"/>
    <col min="8" max="8" width="10.42578125" bestFit="1" customWidth="1"/>
    <col min="9" max="9" width="12.42578125" bestFit="1" customWidth="1"/>
    <col min="10" max="10" width="11.85546875" bestFit="1" customWidth="1"/>
    <col min="11" max="11" width="20.42578125" bestFit="1" customWidth="1"/>
    <col min="13" max="13" width="16.42578125" bestFit="1" customWidth="1"/>
    <col min="14" max="14" width="34.28515625" customWidth="1"/>
    <col min="15" max="15" width="32.42578125" bestFit="1" customWidth="1"/>
    <col min="16" max="16" width="14.5703125" customWidth="1"/>
    <col min="17" max="17" width="22.140625" customWidth="1"/>
    <col min="18" max="18" width="19.140625" customWidth="1"/>
    <col min="19" max="19" width="12.42578125" bestFit="1" customWidth="1"/>
    <col min="20" max="20" width="29.140625" bestFit="1" customWidth="1"/>
    <col min="21" max="22" width="18" bestFit="1" customWidth="1"/>
    <col min="23" max="23" width="12.85546875" bestFit="1" customWidth="1"/>
    <col min="24" max="24" width="13.140625" bestFit="1" customWidth="1"/>
    <col min="25" max="26" width="12.140625" bestFit="1" customWidth="1"/>
    <col min="27" max="27" width="12.85546875" bestFit="1" customWidth="1"/>
    <col min="28" max="28" width="12.140625" bestFit="1" customWidth="1"/>
    <col min="29" max="29" width="12.85546875" bestFit="1" customWidth="1"/>
    <col min="30" max="30" width="12.140625" bestFit="1" customWidth="1"/>
  </cols>
  <sheetData>
    <row r="1" spans="1:17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s="8"/>
      <c r="O1" s="9"/>
    </row>
    <row r="2" spans="1:17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5" t="s">
        <v>16</v>
      </c>
      <c r="G2">
        <v>26</v>
      </c>
      <c r="H2">
        <v>72</v>
      </c>
      <c r="I2">
        <v>72</v>
      </c>
      <c r="J2">
        <v>74</v>
      </c>
      <c r="K2">
        <f>(H2+I2)/2</f>
        <v>72</v>
      </c>
    </row>
    <row r="3" spans="1:17">
      <c r="A3" t="s">
        <v>11</v>
      </c>
      <c r="B3" t="s">
        <v>17</v>
      </c>
      <c r="C3" t="s">
        <v>18</v>
      </c>
      <c r="D3" t="s">
        <v>14</v>
      </c>
      <c r="E3" t="s">
        <v>19</v>
      </c>
      <c r="F3" s="5" t="s">
        <v>20</v>
      </c>
      <c r="G3">
        <v>13</v>
      </c>
      <c r="H3">
        <v>69</v>
      </c>
      <c r="I3">
        <v>90</v>
      </c>
      <c r="J3">
        <v>88</v>
      </c>
      <c r="K3">
        <f t="shared" ref="K3:K66" si="0">(H3+I3)/2</f>
        <v>79.5</v>
      </c>
      <c r="N3" t="s">
        <v>21</v>
      </c>
      <c r="O3">
        <f>_xlfn.T.TEST(H2:H1001,I2:I1001,2,2)</f>
        <v>3.9464455464352952E-6</v>
      </c>
      <c r="Q3">
        <f>_xlfn.T.TEST(H2:H1001,I2:I1001,1,1)</f>
        <v>3.6611679502081468E-26</v>
      </c>
    </row>
    <row r="4" spans="1:17">
      <c r="A4" t="s">
        <v>11</v>
      </c>
      <c r="B4" t="s">
        <v>12</v>
      </c>
      <c r="C4" t="s">
        <v>22</v>
      </c>
      <c r="D4" t="s">
        <v>14</v>
      </c>
      <c r="E4" t="s">
        <v>15</v>
      </c>
      <c r="F4" s="5" t="s">
        <v>23</v>
      </c>
      <c r="G4">
        <v>22</v>
      </c>
      <c r="H4">
        <v>90</v>
      </c>
      <c r="I4">
        <v>95</v>
      </c>
      <c r="J4">
        <v>93</v>
      </c>
      <c r="K4">
        <f t="shared" si="0"/>
        <v>92.5</v>
      </c>
    </row>
    <row r="5" spans="1:17">
      <c r="A5" t="s">
        <v>24</v>
      </c>
      <c r="B5" t="s">
        <v>25</v>
      </c>
      <c r="C5" t="s">
        <v>26</v>
      </c>
      <c r="D5" t="s">
        <v>27</v>
      </c>
      <c r="E5" t="s">
        <v>15</v>
      </c>
      <c r="F5" s="5" t="s">
        <v>28</v>
      </c>
      <c r="G5">
        <v>21</v>
      </c>
      <c r="H5">
        <v>47</v>
      </c>
      <c r="I5">
        <v>57</v>
      </c>
      <c r="J5">
        <v>44</v>
      </c>
      <c r="K5">
        <f t="shared" si="0"/>
        <v>52</v>
      </c>
      <c r="N5" s="12" t="s">
        <v>29</v>
      </c>
      <c r="O5" s="12"/>
    </row>
    <row r="6" spans="1:17">
      <c r="A6" t="s">
        <v>24</v>
      </c>
      <c r="B6" t="s">
        <v>17</v>
      </c>
      <c r="C6" t="s">
        <v>18</v>
      </c>
      <c r="D6" t="s">
        <v>14</v>
      </c>
      <c r="E6" t="s">
        <v>15</v>
      </c>
      <c r="F6" s="5" t="s">
        <v>30</v>
      </c>
      <c r="G6">
        <v>19</v>
      </c>
      <c r="H6">
        <v>76</v>
      </c>
      <c r="I6">
        <v>78</v>
      </c>
      <c r="J6">
        <v>75</v>
      </c>
      <c r="K6">
        <f t="shared" si="0"/>
        <v>77</v>
      </c>
      <c r="N6" t="s">
        <v>31</v>
      </c>
      <c r="O6">
        <f>AVERAGE(K2:K1001)</f>
        <v>67.629000000000005</v>
      </c>
    </row>
    <row r="7" spans="1:17">
      <c r="A7" t="s">
        <v>11</v>
      </c>
      <c r="B7" t="s">
        <v>12</v>
      </c>
      <c r="C7" t="s">
        <v>26</v>
      </c>
      <c r="D7" t="s">
        <v>14</v>
      </c>
      <c r="E7" t="s">
        <v>15</v>
      </c>
      <c r="F7" s="5" t="s">
        <v>32</v>
      </c>
      <c r="G7">
        <v>11</v>
      </c>
      <c r="H7">
        <v>71</v>
      </c>
      <c r="I7">
        <v>83</v>
      </c>
      <c r="J7">
        <v>78</v>
      </c>
      <c r="K7">
        <f t="shared" si="0"/>
        <v>77</v>
      </c>
      <c r="N7" t="s">
        <v>33</v>
      </c>
      <c r="O7">
        <f>_xlfn.STDEV.S(K2:K1001)</f>
        <v>14.186988039384181</v>
      </c>
    </row>
    <row r="8" spans="1:17">
      <c r="A8" t="s">
        <v>11</v>
      </c>
      <c r="B8" t="s">
        <v>12</v>
      </c>
      <c r="C8" t="s">
        <v>18</v>
      </c>
      <c r="D8" t="s">
        <v>14</v>
      </c>
      <c r="E8" t="s">
        <v>19</v>
      </c>
      <c r="F8" s="5" t="s">
        <v>34</v>
      </c>
      <c r="G8">
        <v>25</v>
      </c>
      <c r="H8">
        <v>88</v>
      </c>
      <c r="I8">
        <v>95</v>
      </c>
      <c r="J8">
        <v>92</v>
      </c>
      <c r="K8">
        <f t="shared" si="0"/>
        <v>91.5</v>
      </c>
      <c r="N8" t="s">
        <v>35</v>
      </c>
      <c r="O8">
        <f>COUNT(K2:K1001)</f>
        <v>1000</v>
      </c>
    </row>
    <row r="9" spans="1:17">
      <c r="A9" t="s">
        <v>24</v>
      </c>
      <c r="B9" t="s">
        <v>12</v>
      </c>
      <c r="C9" t="s">
        <v>18</v>
      </c>
      <c r="D9" t="s">
        <v>27</v>
      </c>
      <c r="E9" t="s">
        <v>15</v>
      </c>
      <c r="F9" s="5" t="s">
        <v>36</v>
      </c>
      <c r="G9">
        <v>19</v>
      </c>
      <c r="H9">
        <v>40</v>
      </c>
      <c r="I9">
        <v>43</v>
      </c>
      <c r="J9">
        <v>39</v>
      </c>
      <c r="K9">
        <f t="shared" si="0"/>
        <v>41.5</v>
      </c>
      <c r="N9" t="s">
        <v>37</v>
      </c>
      <c r="O9">
        <f>_xlfn.STDEV.S(K2:K1001)/SQRT(COUNT(K2:K1001))</f>
        <v>0.4486319534202059</v>
      </c>
    </row>
    <row r="10" spans="1:17">
      <c r="A10" t="s">
        <v>24</v>
      </c>
      <c r="B10" t="s">
        <v>38</v>
      </c>
      <c r="C10" t="s">
        <v>39</v>
      </c>
      <c r="D10" t="s">
        <v>27</v>
      </c>
      <c r="E10" t="s">
        <v>19</v>
      </c>
      <c r="F10" s="5" t="s">
        <v>40</v>
      </c>
      <c r="G10">
        <v>21</v>
      </c>
      <c r="H10">
        <v>64</v>
      </c>
      <c r="I10">
        <v>64</v>
      </c>
      <c r="J10">
        <v>67</v>
      </c>
      <c r="K10">
        <f t="shared" si="0"/>
        <v>64</v>
      </c>
      <c r="N10" t="s">
        <v>41</v>
      </c>
      <c r="O10">
        <f>(AVERAGE(K2:K1001)-70)/(_xlfn.STDEV.S(K2:K1001)/SQRT(1000))</f>
        <v>-5.2849557012699577</v>
      </c>
    </row>
    <row r="11" spans="1:17">
      <c r="A11" t="s">
        <v>11</v>
      </c>
      <c r="B11" t="s">
        <v>12</v>
      </c>
      <c r="C11" t="s">
        <v>39</v>
      </c>
      <c r="D11" t="s">
        <v>27</v>
      </c>
      <c r="E11" t="s">
        <v>15</v>
      </c>
      <c r="F11" s="5" t="s">
        <v>42</v>
      </c>
      <c r="G11">
        <v>26</v>
      </c>
      <c r="H11">
        <v>38</v>
      </c>
      <c r="I11">
        <v>60</v>
      </c>
      <c r="J11">
        <v>50</v>
      </c>
      <c r="K11">
        <f t="shared" si="0"/>
        <v>49</v>
      </c>
    </row>
    <row r="12" spans="1:17">
      <c r="A12" t="s">
        <v>24</v>
      </c>
      <c r="B12" t="s">
        <v>17</v>
      </c>
      <c r="C12" t="s">
        <v>26</v>
      </c>
      <c r="D12" t="s">
        <v>14</v>
      </c>
      <c r="E12" t="s">
        <v>15</v>
      </c>
      <c r="F12" s="5" t="s">
        <v>43</v>
      </c>
      <c r="G12">
        <v>0</v>
      </c>
      <c r="H12">
        <v>58</v>
      </c>
      <c r="I12">
        <v>54</v>
      </c>
      <c r="J12">
        <v>52</v>
      </c>
      <c r="K12">
        <f t="shared" si="0"/>
        <v>56</v>
      </c>
    </row>
    <row r="13" spans="1:17">
      <c r="A13" t="s">
        <v>24</v>
      </c>
      <c r="B13" t="s">
        <v>38</v>
      </c>
      <c r="C13" t="s">
        <v>26</v>
      </c>
      <c r="D13" t="s">
        <v>14</v>
      </c>
      <c r="E13" t="s">
        <v>15</v>
      </c>
      <c r="F13" s="5" t="s">
        <v>44</v>
      </c>
      <c r="G13">
        <v>26</v>
      </c>
      <c r="H13">
        <v>40</v>
      </c>
      <c r="I13">
        <v>52</v>
      </c>
      <c r="J13">
        <v>43</v>
      </c>
      <c r="K13">
        <f t="shared" si="0"/>
        <v>46</v>
      </c>
    </row>
    <row r="14" spans="1:17">
      <c r="A14" t="s">
        <v>11</v>
      </c>
      <c r="B14" t="s">
        <v>12</v>
      </c>
      <c r="C14" t="s">
        <v>39</v>
      </c>
      <c r="D14" t="s">
        <v>14</v>
      </c>
      <c r="E14" t="s">
        <v>15</v>
      </c>
      <c r="F14" s="5" t="s">
        <v>45</v>
      </c>
      <c r="G14">
        <v>14</v>
      </c>
      <c r="H14">
        <v>65</v>
      </c>
      <c r="I14">
        <v>81</v>
      </c>
      <c r="J14">
        <v>73</v>
      </c>
      <c r="K14">
        <f t="shared" si="0"/>
        <v>73</v>
      </c>
      <c r="N14" s="10" t="s">
        <v>46</v>
      </c>
      <c r="O14" s="7" t="s">
        <v>47</v>
      </c>
    </row>
    <row r="15" spans="1:17">
      <c r="A15" t="s">
        <v>24</v>
      </c>
      <c r="B15" t="s">
        <v>25</v>
      </c>
      <c r="C15" t="s">
        <v>18</v>
      </c>
      <c r="D15" t="s">
        <v>14</v>
      </c>
      <c r="E15" t="s">
        <v>19</v>
      </c>
      <c r="F15" s="5" t="s">
        <v>48</v>
      </c>
      <c r="G15">
        <v>1</v>
      </c>
      <c r="H15">
        <v>78</v>
      </c>
      <c r="I15">
        <v>72</v>
      </c>
      <c r="J15">
        <v>70</v>
      </c>
      <c r="K15">
        <f t="shared" si="0"/>
        <v>75</v>
      </c>
      <c r="N15" s="2" t="s">
        <v>26</v>
      </c>
      <c r="O15">
        <v>222</v>
      </c>
    </row>
    <row r="16" spans="1:17">
      <c r="A16" t="s">
        <v>11</v>
      </c>
      <c r="B16" t="s">
        <v>25</v>
      </c>
      <c r="C16" t="s">
        <v>22</v>
      </c>
      <c r="D16" t="s">
        <v>14</v>
      </c>
      <c r="E16" t="s">
        <v>15</v>
      </c>
      <c r="F16" s="5" t="s">
        <v>49</v>
      </c>
      <c r="G16">
        <v>27</v>
      </c>
      <c r="H16">
        <v>50</v>
      </c>
      <c r="I16">
        <v>53</v>
      </c>
      <c r="J16">
        <v>58</v>
      </c>
      <c r="K16">
        <f t="shared" si="0"/>
        <v>51.5</v>
      </c>
      <c r="N16" s="2" t="s">
        <v>13</v>
      </c>
      <c r="O16">
        <v>118</v>
      </c>
    </row>
    <row r="17" spans="1:24">
      <c r="A17" t="s">
        <v>11</v>
      </c>
      <c r="B17" t="s">
        <v>17</v>
      </c>
      <c r="C17" t="s">
        <v>50</v>
      </c>
      <c r="D17" t="s">
        <v>14</v>
      </c>
      <c r="E17" t="s">
        <v>15</v>
      </c>
      <c r="F17" s="5" t="s">
        <v>51</v>
      </c>
      <c r="G17">
        <v>1</v>
      </c>
      <c r="H17">
        <v>69</v>
      </c>
      <c r="I17">
        <v>75</v>
      </c>
      <c r="J17">
        <v>78</v>
      </c>
      <c r="K17">
        <f t="shared" si="0"/>
        <v>72</v>
      </c>
      <c r="N17" s="2" t="s">
        <v>39</v>
      </c>
      <c r="O17">
        <v>196</v>
      </c>
    </row>
    <row r="18" spans="1:24">
      <c r="A18" t="s">
        <v>24</v>
      </c>
      <c r="B18" t="s">
        <v>17</v>
      </c>
      <c r="C18" t="s">
        <v>39</v>
      </c>
      <c r="D18" t="s">
        <v>14</v>
      </c>
      <c r="E18" t="s">
        <v>15</v>
      </c>
      <c r="F18" s="5" t="s">
        <v>52</v>
      </c>
      <c r="G18">
        <v>17</v>
      </c>
      <c r="H18">
        <v>88</v>
      </c>
      <c r="I18">
        <v>89</v>
      </c>
      <c r="J18">
        <v>86</v>
      </c>
      <c r="K18">
        <f t="shared" si="0"/>
        <v>88.5</v>
      </c>
      <c r="N18" s="2" t="s">
        <v>22</v>
      </c>
      <c r="O18">
        <v>59</v>
      </c>
    </row>
    <row r="19" spans="1:24">
      <c r="A19" t="s">
        <v>11</v>
      </c>
      <c r="B19" t="s">
        <v>12</v>
      </c>
      <c r="C19" t="s">
        <v>50</v>
      </c>
      <c r="D19" t="s">
        <v>27</v>
      </c>
      <c r="E19" t="s">
        <v>15</v>
      </c>
      <c r="F19" s="5" t="s">
        <v>53</v>
      </c>
      <c r="G19">
        <v>16</v>
      </c>
      <c r="H19">
        <v>18</v>
      </c>
      <c r="I19">
        <v>32</v>
      </c>
      <c r="J19">
        <v>28</v>
      </c>
      <c r="K19">
        <f t="shared" si="0"/>
        <v>25</v>
      </c>
      <c r="N19" s="2" t="s">
        <v>18</v>
      </c>
      <c r="O19">
        <v>225</v>
      </c>
    </row>
    <row r="20" spans="1:24">
      <c r="A20" t="s">
        <v>24</v>
      </c>
      <c r="B20" t="s">
        <v>17</v>
      </c>
      <c r="C20" t="s">
        <v>22</v>
      </c>
      <c r="D20" t="s">
        <v>27</v>
      </c>
      <c r="E20" t="s">
        <v>19</v>
      </c>
      <c r="F20" s="5" t="s">
        <v>54</v>
      </c>
      <c r="G20">
        <v>16</v>
      </c>
      <c r="H20">
        <v>46</v>
      </c>
      <c r="I20">
        <v>42</v>
      </c>
      <c r="J20">
        <v>46</v>
      </c>
      <c r="K20">
        <f t="shared" si="0"/>
        <v>44</v>
      </c>
      <c r="N20" s="2" t="s">
        <v>50</v>
      </c>
      <c r="O20">
        <v>179</v>
      </c>
    </row>
    <row r="21" spans="1:24">
      <c r="A21" t="s">
        <v>11</v>
      </c>
      <c r="B21" t="s">
        <v>17</v>
      </c>
      <c r="C21" t="s">
        <v>26</v>
      </c>
      <c r="D21" t="s">
        <v>27</v>
      </c>
      <c r="E21" t="s">
        <v>15</v>
      </c>
      <c r="F21" s="5" t="s">
        <v>55</v>
      </c>
      <c r="G21">
        <v>3</v>
      </c>
      <c r="H21">
        <v>54</v>
      </c>
      <c r="I21">
        <v>58</v>
      </c>
      <c r="J21">
        <v>61</v>
      </c>
      <c r="K21">
        <f t="shared" si="0"/>
        <v>56</v>
      </c>
      <c r="N21" s="2" t="s">
        <v>56</v>
      </c>
      <c r="O21">
        <v>999</v>
      </c>
    </row>
    <row r="22" spans="1:24">
      <c r="A22" t="s">
        <v>24</v>
      </c>
      <c r="B22" t="s">
        <v>38</v>
      </c>
      <c r="C22" t="s">
        <v>39</v>
      </c>
      <c r="D22" t="s">
        <v>14</v>
      </c>
      <c r="E22" t="s">
        <v>15</v>
      </c>
      <c r="F22" s="5" t="s">
        <v>57</v>
      </c>
      <c r="G22">
        <v>29</v>
      </c>
      <c r="H22">
        <v>66</v>
      </c>
      <c r="I22">
        <v>69</v>
      </c>
      <c r="J22">
        <v>63</v>
      </c>
      <c r="K22">
        <f t="shared" si="0"/>
        <v>67.5</v>
      </c>
    </row>
    <row r="23" spans="1:24">
      <c r="A23" t="s">
        <v>11</v>
      </c>
      <c r="B23" t="s">
        <v>12</v>
      </c>
      <c r="C23" t="s">
        <v>18</v>
      </c>
      <c r="D23" t="s">
        <v>27</v>
      </c>
      <c r="E23" t="s">
        <v>19</v>
      </c>
      <c r="F23" s="5" t="s">
        <v>58</v>
      </c>
      <c r="G23">
        <v>15</v>
      </c>
      <c r="H23">
        <v>65</v>
      </c>
      <c r="I23">
        <v>75</v>
      </c>
      <c r="J23">
        <v>70</v>
      </c>
      <c r="K23">
        <f t="shared" si="0"/>
        <v>70</v>
      </c>
    </row>
    <row r="24" spans="1:24">
      <c r="A24" t="s">
        <v>24</v>
      </c>
      <c r="B24" t="s">
        <v>38</v>
      </c>
      <c r="C24" t="s">
        <v>18</v>
      </c>
      <c r="D24" t="s">
        <v>14</v>
      </c>
      <c r="E24" t="s">
        <v>15</v>
      </c>
      <c r="F24" s="5" t="s">
        <v>59</v>
      </c>
      <c r="G24">
        <v>9</v>
      </c>
      <c r="H24">
        <v>44</v>
      </c>
      <c r="I24">
        <v>54</v>
      </c>
      <c r="J24">
        <v>53</v>
      </c>
      <c r="K24">
        <f t="shared" si="0"/>
        <v>49</v>
      </c>
      <c r="X24">
        <f>SLOPE(J2:J1001,G2:G1001)</f>
        <v>2.4228546331001917E-2</v>
      </c>
    </row>
    <row r="25" spans="1:24">
      <c r="A25" t="s">
        <v>11</v>
      </c>
      <c r="B25" t="s">
        <v>17</v>
      </c>
      <c r="C25" t="s">
        <v>50</v>
      </c>
      <c r="D25" t="s">
        <v>14</v>
      </c>
      <c r="E25" t="s">
        <v>15</v>
      </c>
      <c r="F25" s="5" t="s">
        <v>60</v>
      </c>
      <c r="G25">
        <v>9</v>
      </c>
      <c r="H25">
        <v>69</v>
      </c>
      <c r="I25">
        <v>73</v>
      </c>
      <c r="J25">
        <v>73</v>
      </c>
      <c r="K25">
        <f t="shared" si="0"/>
        <v>71</v>
      </c>
      <c r="X25">
        <f>INTERCEPT(J2:J1001,G2:G1001)</f>
        <v>67.702322650005513</v>
      </c>
    </row>
    <row r="26" spans="1:24">
      <c r="A26" t="s">
        <v>24</v>
      </c>
      <c r="B26" t="s">
        <v>38</v>
      </c>
      <c r="C26" t="s">
        <v>13</v>
      </c>
      <c r="D26" t="s">
        <v>27</v>
      </c>
      <c r="E26" t="s">
        <v>19</v>
      </c>
      <c r="F26" s="5" t="s">
        <v>61</v>
      </c>
      <c r="G26">
        <v>17</v>
      </c>
      <c r="H26">
        <v>74</v>
      </c>
      <c r="I26">
        <v>71</v>
      </c>
      <c r="J26">
        <v>80</v>
      </c>
      <c r="K26">
        <f t="shared" si="0"/>
        <v>72.5</v>
      </c>
    </row>
    <row r="27" spans="1:24">
      <c r="A27" t="s">
        <v>24</v>
      </c>
      <c r="B27" t="s">
        <v>25</v>
      </c>
      <c r="C27" t="s">
        <v>22</v>
      </c>
      <c r="D27" t="s">
        <v>27</v>
      </c>
      <c r="E27" t="s">
        <v>15</v>
      </c>
      <c r="F27" s="5" t="s">
        <v>62</v>
      </c>
      <c r="G27">
        <v>5</v>
      </c>
      <c r="H27">
        <v>73</v>
      </c>
      <c r="I27">
        <v>74</v>
      </c>
      <c r="J27">
        <v>72</v>
      </c>
      <c r="K27">
        <f t="shared" si="0"/>
        <v>73.5</v>
      </c>
    </row>
    <row r="28" spans="1:24">
      <c r="A28" t="s">
        <v>24</v>
      </c>
      <c r="B28" t="s">
        <v>12</v>
      </c>
      <c r="C28" t="s">
        <v>18</v>
      </c>
      <c r="D28" t="s">
        <v>14</v>
      </c>
      <c r="E28" t="s">
        <v>15</v>
      </c>
      <c r="F28" s="5" t="s">
        <v>63</v>
      </c>
      <c r="G28">
        <v>27</v>
      </c>
      <c r="H28">
        <v>69</v>
      </c>
      <c r="I28">
        <v>54</v>
      </c>
      <c r="J28">
        <v>55</v>
      </c>
      <c r="K28">
        <f t="shared" si="0"/>
        <v>61.5</v>
      </c>
    </row>
    <row r="29" spans="1:24">
      <c r="A29" t="s">
        <v>11</v>
      </c>
      <c r="B29" t="s">
        <v>17</v>
      </c>
      <c r="C29" t="s">
        <v>13</v>
      </c>
      <c r="D29" t="s">
        <v>14</v>
      </c>
      <c r="E29" t="s">
        <v>15</v>
      </c>
      <c r="F29" s="5" t="s">
        <v>64</v>
      </c>
      <c r="G29">
        <v>2</v>
      </c>
      <c r="H29">
        <v>67</v>
      </c>
      <c r="I29">
        <v>69</v>
      </c>
      <c r="J29">
        <v>75</v>
      </c>
      <c r="K29">
        <f t="shared" si="0"/>
        <v>68</v>
      </c>
    </row>
    <row r="30" spans="1:24">
      <c r="A30" t="s">
        <v>24</v>
      </c>
      <c r="B30" t="s">
        <v>17</v>
      </c>
      <c r="C30" t="s">
        <v>39</v>
      </c>
      <c r="D30" t="s">
        <v>14</v>
      </c>
      <c r="E30" t="s">
        <v>15</v>
      </c>
      <c r="F30" s="5" t="s">
        <v>65</v>
      </c>
      <c r="G30">
        <v>3</v>
      </c>
      <c r="H30">
        <v>70</v>
      </c>
      <c r="I30">
        <v>70</v>
      </c>
      <c r="J30">
        <v>65</v>
      </c>
      <c r="K30">
        <f t="shared" si="0"/>
        <v>70</v>
      </c>
    </row>
    <row r="31" spans="1:24">
      <c r="A31" t="s">
        <v>11</v>
      </c>
      <c r="B31" t="s">
        <v>38</v>
      </c>
      <c r="C31" t="s">
        <v>22</v>
      </c>
      <c r="D31" t="s">
        <v>14</v>
      </c>
      <c r="E31" t="s">
        <v>15</v>
      </c>
      <c r="F31" s="5" t="s">
        <v>66</v>
      </c>
      <c r="G31">
        <v>29</v>
      </c>
      <c r="H31">
        <v>62</v>
      </c>
      <c r="I31">
        <v>70</v>
      </c>
      <c r="J31">
        <v>75</v>
      </c>
      <c r="K31">
        <f t="shared" si="0"/>
        <v>66</v>
      </c>
    </row>
    <row r="32" spans="1:24">
      <c r="A32" t="s">
        <v>11</v>
      </c>
      <c r="B32" t="s">
        <v>38</v>
      </c>
      <c r="C32" t="s">
        <v>18</v>
      </c>
      <c r="D32" t="s">
        <v>14</v>
      </c>
      <c r="E32" t="s">
        <v>15</v>
      </c>
      <c r="F32" s="5" t="s">
        <v>67</v>
      </c>
      <c r="G32">
        <v>1</v>
      </c>
      <c r="H32">
        <v>69</v>
      </c>
      <c r="I32">
        <v>74</v>
      </c>
      <c r="J32">
        <v>74</v>
      </c>
      <c r="K32">
        <f t="shared" si="0"/>
        <v>71.5</v>
      </c>
    </row>
    <row r="33" spans="1:15">
      <c r="A33" t="s">
        <v>11</v>
      </c>
      <c r="B33" t="s">
        <v>12</v>
      </c>
      <c r="C33" t="s">
        <v>18</v>
      </c>
      <c r="D33" t="s">
        <v>14</v>
      </c>
      <c r="E33" t="s">
        <v>15</v>
      </c>
      <c r="F33" s="5" t="s">
        <v>68</v>
      </c>
      <c r="G33">
        <v>0</v>
      </c>
      <c r="H33">
        <v>63</v>
      </c>
      <c r="I33">
        <v>65</v>
      </c>
      <c r="J33">
        <v>61</v>
      </c>
      <c r="K33">
        <f t="shared" si="0"/>
        <v>64</v>
      </c>
    </row>
    <row r="34" spans="1:15">
      <c r="A34" t="s">
        <v>11</v>
      </c>
      <c r="B34" t="s">
        <v>69</v>
      </c>
      <c r="C34" t="s">
        <v>22</v>
      </c>
      <c r="D34" t="s">
        <v>27</v>
      </c>
      <c r="E34" t="s">
        <v>15</v>
      </c>
      <c r="F34" s="5" t="s">
        <v>70</v>
      </c>
      <c r="G34">
        <v>4</v>
      </c>
      <c r="H34">
        <v>56</v>
      </c>
      <c r="I34">
        <v>72</v>
      </c>
      <c r="J34">
        <v>65</v>
      </c>
      <c r="K34">
        <f t="shared" si="0"/>
        <v>64</v>
      </c>
    </row>
    <row r="35" spans="1:15">
      <c r="A35" t="s">
        <v>24</v>
      </c>
      <c r="B35" t="s">
        <v>38</v>
      </c>
      <c r="C35" t="s">
        <v>18</v>
      </c>
      <c r="D35" t="s">
        <v>14</v>
      </c>
      <c r="E35" t="s">
        <v>15</v>
      </c>
      <c r="F35" s="5" t="s">
        <v>71</v>
      </c>
      <c r="G35">
        <v>7</v>
      </c>
      <c r="H35">
        <v>40</v>
      </c>
      <c r="I35">
        <v>42</v>
      </c>
      <c r="J35">
        <v>38</v>
      </c>
      <c r="K35">
        <f t="shared" si="0"/>
        <v>41</v>
      </c>
    </row>
    <row r="36" spans="1:15">
      <c r="A36" t="s">
        <v>24</v>
      </c>
      <c r="B36" t="s">
        <v>69</v>
      </c>
      <c r="C36" t="s">
        <v>18</v>
      </c>
      <c r="D36" t="s">
        <v>14</v>
      </c>
      <c r="E36" t="s">
        <v>15</v>
      </c>
      <c r="F36" s="5" t="s">
        <v>72</v>
      </c>
      <c r="G36">
        <v>19</v>
      </c>
      <c r="H36">
        <v>97</v>
      </c>
      <c r="I36">
        <v>87</v>
      </c>
      <c r="J36">
        <v>82</v>
      </c>
      <c r="K36">
        <f t="shared" si="0"/>
        <v>92</v>
      </c>
    </row>
    <row r="37" spans="1:15">
      <c r="A37" t="s">
        <v>24</v>
      </c>
      <c r="B37" t="s">
        <v>69</v>
      </c>
      <c r="C37" t="s">
        <v>26</v>
      </c>
      <c r="D37" t="s">
        <v>14</v>
      </c>
      <c r="E37" t="s">
        <v>19</v>
      </c>
      <c r="F37" s="5" t="s">
        <v>73</v>
      </c>
      <c r="G37">
        <v>19</v>
      </c>
      <c r="H37">
        <v>81</v>
      </c>
      <c r="I37">
        <v>81</v>
      </c>
      <c r="J37">
        <v>79</v>
      </c>
      <c r="K37">
        <f t="shared" si="0"/>
        <v>81</v>
      </c>
    </row>
    <row r="38" spans="1:15">
      <c r="A38" t="s">
        <v>11</v>
      </c>
      <c r="B38" t="s">
        <v>38</v>
      </c>
      <c r="C38" t="s">
        <v>26</v>
      </c>
      <c r="D38" t="s">
        <v>14</v>
      </c>
      <c r="E38" t="s">
        <v>15</v>
      </c>
      <c r="F38" s="5" t="s">
        <v>74</v>
      </c>
      <c r="G38">
        <v>1</v>
      </c>
      <c r="H38">
        <v>74</v>
      </c>
      <c r="I38">
        <v>81</v>
      </c>
      <c r="J38">
        <v>83</v>
      </c>
      <c r="K38">
        <f t="shared" si="0"/>
        <v>77.5</v>
      </c>
    </row>
    <row r="39" spans="1:15">
      <c r="A39" t="s">
        <v>11</v>
      </c>
      <c r="B39" t="s">
        <v>38</v>
      </c>
      <c r="C39" t="s">
        <v>50</v>
      </c>
      <c r="D39" t="s">
        <v>27</v>
      </c>
      <c r="E39" t="s">
        <v>15</v>
      </c>
      <c r="F39" s="5" t="s">
        <v>75</v>
      </c>
      <c r="G39">
        <v>20</v>
      </c>
      <c r="H39">
        <v>50</v>
      </c>
      <c r="I39">
        <v>64</v>
      </c>
      <c r="J39">
        <v>59</v>
      </c>
      <c r="K39">
        <f t="shared" si="0"/>
        <v>57</v>
      </c>
      <c r="N39" s="1" t="s">
        <v>46</v>
      </c>
      <c r="O39" t="s">
        <v>76</v>
      </c>
    </row>
    <row r="40" spans="1:15">
      <c r="A40" t="s">
        <v>11</v>
      </c>
      <c r="B40" t="s">
        <v>38</v>
      </c>
      <c r="C40" t="s">
        <v>26</v>
      </c>
      <c r="D40" t="s">
        <v>27</v>
      </c>
      <c r="E40" t="s">
        <v>19</v>
      </c>
      <c r="F40" s="5" t="s">
        <v>77</v>
      </c>
      <c r="G40">
        <v>20</v>
      </c>
      <c r="H40">
        <v>75</v>
      </c>
      <c r="I40">
        <v>90</v>
      </c>
      <c r="J40">
        <v>88</v>
      </c>
      <c r="K40">
        <f t="shared" si="0"/>
        <v>82.5</v>
      </c>
      <c r="N40" s="2" t="s">
        <v>27</v>
      </c>
      <c r="O40">
        <v>354</v>
      </c>
    </row>
    <row r="41" spans="1:15">
      <c r="A41" t="s">
        <v>24</v>
      </c>
      <c r="B41" t="s">
        <v>12</v>
      </c>
      <c r="C41" t="s">
        <v>26</v>
      </c>
      <c r="D41" t="s">
        <v>27</v>
      </c>
      <c r="E41" t="s">
        <v>15</v>
      </c>
      <c r="F41" s="5" t="s">
        <v>78</v>
      </c>
      <c r="G41">
        <v>22</v>
      </c>
      <c r="H41">
        <v>57</v>
      </c>
      <c r="I41">
        <v>56</v>
      </c>
      <c r="J41">
        <v>57</v>
      </c>
      <c r="K41">
        <f t="shared" si="0"/>
        <v>56.5</v>
      </c>
      <c r="N41" s="2" t="s">
        <v>14</v>
      </c>
      <c r="O41">
        <v>645</v>
      </c>
    </row>
    <row r="42" spans="1:15">
      <c r="A42" t="s">
        <v>24</v>
      </c>
      <c r="B42" t="s">
        <v>17</v>
      </c>
      <c r="C42" t="s">
        <v>26</v>
      </c>
      <c r="D42" t="s">
        <v>27</v>
      </c>
      <c r="E42" t="s">
        <v>15</v>
      </c>
      <c r="F42" s="5" t="s">
        <v>79</v>
      </c>
      <c r="G42">
        <v>23</v>
      </c>
      <c r="H42">
        <v>55</v>
      </c>
      <c r="I42">
        <v>61</v>
      </c>
      <c r="J42">
        <v>54</v>
      </c>
      <c r="K42">
        <f t="shared" si="0"/>
        <v>58</v>
      </c>
      <c r="N42" s="2" t="s">
        <v>56</v>
      </c>
      <c r="O42">
        <v>999</v>
      </c>
    </row>
    <row r="43" spans="1:15">
      <c r="A43" t="s">
        <v>11</v>
      </c>
      <c r="B43" t="s">
        <v>17</v>
      </c>
      <c r="C43" t="s">
        <v>26</v>
      </c>
      <c r="D43" t="s">
        <v>14</v>
      </c>
      <c r="E43" t="s">
        <v>15</v>
      </c>
      <c r="F43" s="5" t="s">
        <v>80</v>
      </c>
      <c r="G43">
        <v>10</v>
      </c>
      <c r="H43">
        <v>58</v>
      </c>
      <c r="I43">
        <v>73</v>
      </c>
      <c r="J43">
        <v>68</v>
      </c>
      <c r="K43">
        <f t="shared" si="0"/>
        <v>65.5</v>
      </c>
    </row>
    <row r="44" spans="1:15">
      <c r="A44" t="s">
        <v>11</v>
      </c>
      <c r="B44" t="s">
        <v>12</v>
      </c>
      <c r="C44" t="s">
        <v>26</v>
      </c>
      <c r="D44" t="s">
        <v>14</v>
      </c>
      <c r="E44" t="s">
        <v>15</v>
      </c>
      <c r="F44" s="5" t="s">
        <v>81</v>
      </c>
      <c r="G44">
        <v>25</v>
      </c>
      <c r="H44">
        <v>53</v>
      </c>
      <c r="I44">
        <v>58</v>
      </c>
      <c r="J44">
        <v>65</v>
      </c>
      <c r="K44">
        <f t="shared" si="0"/>
        <v>55.5</v>
      </c>
    </row>
    <row r="45" spans="1:15">
      <c r="A45" t="s">
        <v>24</v>
      </c>
      <c r="B45" t="s">
        <v>12</v>
      </c>
      <c r="C45" t="s">
        <v>18</v>
      </c>
      <c r="D45" t="s">
        <v>27</v>
      </c>
      <c r="E45" t="s">
        <v>19</v>
      </c>
      <c r="F45" s="5" t="s">
        <v>82</v>
      </c>
      <c r="G45">
        <v>26</v>
      </c>
      <c r="H45">
        <v>59</v>
      </c>
      <c r="I45">
        <v>65</v>
      </c>
      <c r="J45">
        <v>66</v>
      </c>
      <c r="K45">
        <f t="shared" si="0"/>
        <v>62</v>
      </c>
    </row>
    <row r="46" spans="1:15">
      <c r="A46" t="s">
        <v>11</v>
      </c>
      <c r="B46" t="s">
        <v>69</v>
      </c>
      <c r="C46" t="s">
        <v>26</v>
      </c>
      <c r="D46" t="s">
        <v>27</v>
      </c>
      <c r="E46" t="s">
        <v>15</v>
      </c>
      <c r="F46" s="5" t="s">
        <v>83</v>
      </c>
      <c r="G46">
        <v>11</v>
      </c>
      <c r="H46">
        <v>50</v>
      </c>
      <c r="I46">
        <v>56</v>
      </c>
      <c r="J46">
        <v>54</v>
      </c>
      <c r="K46">
        <f t="shared" si="0"/>
        <v>53</v>
      </c>
      <c r="O46" s="7"/>
    </row>
    <row r="47" spans="1:15">
      <c r="A47" t="s">
        <v>24</v>
      </c>
      <c r="B47" t="s">
        <v>12</v>
      </c>
      <c r="C47" t="s">
        <v>26</v>
      </c>
      <c r="D47" t="s">
        <v>14</v>
      </c>
      <c r="E47" t="s">
        <v>15</v>
      </c>
      <c r="F47" s="5" t="s">
        <v>84</v>
      </c>
      <c r="G47">
        <v>24</v>
      </c>
      <c r="H47">
        <v>65</v>
      </c>
      <c r="I47">
        <v>54</v>
      </c>
      <c r="J47">
        <v>57</v>
      </c>
      <c r="K47">
        <f t="shared" si="0"/>
        <v>59.5</v>
      </c>
    </row>
    <row r="48" spans="1:15">
      <c r="A48" t="s">
        <v>11</v>
      </c>
      <c r="B48" t="s">
        <v>25</v>
      </c>
      <c r="C48" t="s">
        <v>26</v>
      </c>
      <c r="D48" t="s">
        <v>14</v>
      </c>
      <c r="E48" t="s">
        <v>19</v>
      </c>
      <c r="F48" s="5" t="s">
        <v>85</v>
      </c>
      <c r="G48">
        <v>1</v>
      </c>
      <c r="H48">
        <v>55</v>
      </c>
      <c r="I48">
        <v>65</v>
      </c>
      <c r="J48">
        <v>62</v>
      </c>
      <c r="K48">
        <f t="shared" si="0"/>
        <v>60</v>
      </c>
    </row>
    <row r="49" spans="1:15">
      <c r="A49" t="s">
        <v>11</v>
      </c>
      <c r="B49" t="s">
        <v>17</v>
      </c>
      <c r="C49" t="s">
        <v>39</v>
      </c>
      <c r="D49" t="s">
        <v>14</v>
      </c>
      <c r="E49" t="s">
        <v>15</v>
      </c>
      <c r="F49" s="5" t="s">
        <v>86</v>
      </c>
      <c r="G49">
        <v>12</v>
      </c>
      <c r="H49">
        <v>66</v>
      </c>
      <c r="I49">
        <v>71</v>
      </c>
      <c r="J49">
        <v>76</v>
      </c>
      <c r="K49">
        <f t="shared" si="0"/>
        <v>68.5</v>
      </c>
    </row>
    <row r="50" spans="1:15">
      <c r="A50" t="s">
        <v>11</v>
      </c>
      <c r="B50" t="s">
        <v>38</v>
      </c>
      <c r="C50" t="s">
        <v>26</v>
      </c>
      <c r="D50" t="s">
        <v>27</v>
      </c>
      <c r="E50" t="s">
        <v>19</v>
      </c>
      <c r="F50" s="5" t="s">
        <v>87</v>
      </c>
      <c r="G50">
        <v>25</v>
      </c>
      <c r="H50">
        <v>57</v>
      </c>
      <c r="I50">
        <v>74</v>
      </c>
      <c r="J50">
        <v>76</v>
      </c>
      <c r="K50">
        <f t="shared" si="0"/>
        <v>65.5</v>
      </c>
    </row>
    <row r="51" spans="1:15">
      <c r="A51" t="s">
        <v>24</v>
      </c>
      <c r="B51" t="s">
        <v>17</v>
      </c>
      <c r="C51" t="s">
        <v>39</v>
      </c>
      <c r="D51" t="s">
        <v>14</v>
      </c>
      <c r="E51" t="s">
        <v>19</v>
      </c>
      <c r="F51" s="5" t="s">
        <v>88</v>
      </c>
      <c r="G51">
        <v>19</v>
      </c>
      <c r="H51">
        <v>82</v>
      </c>
      <c r="I51">
        <v>84</v>
      </c>
      <c r="J51">
        <v>82</v>
      </c>
      <c r="K51">
        <f t="shared" si="0"/>
        <v>83</v>
      </c>
    </row>
    <row r="52" spans="1:15">
      <c r="A52" t="s">
        <v>24</v>
      </c>
      <c r="B52" t="s">
        <v>69</v>
      </c>
      <c r="C52" t="s">
        <v>18</v>
      </c>
      <c r="D52" t="s">
        <v>14</v>
      </c>
      <c r="E52" t="s">
        <v>15</v>
      </c>
      <c r="F52" s="5" t="s">
        <v>89</v>
      </c>
      <c r="G52">
        <v>9</v>
      </c>
      <c r="H52">
        <v>53</v>
      </c>
      <c r="I52">
        <v>55</v>
      </c>
      <c r="J52">
        <v>48</v>
      </c>
      <c r="K52">
        <f t="shared" si="0"/>
        <v>54</v>
      </c>
    </row>
    <row r="53" spans="1:15">
      <c r="A53" t="s">
        <v>24</v>
      </c>
      <c r="B53" t="s">
        <v>69</v>
      </c>
      <c r="C53" t="s">
        <v>26</v>
      </c>
      <c r="D53" t="s">
        <v>27</v>
      </c>
      <c r="E53" t="s">
        <v>19</v>
      </c>
      <c r="F53">
        <v>3.758071776</v>
      </c>
      <c r="G53">
        <v>12</v>
      </c>
      <c r="H53">
        <v>77</v>
      </c>
      <c r="I53">
        <v>69</v>
      </c>
      <c r="J53">
        <v>68</v>
      </c>
      <c r="K53">
        <f t="shared" si="0"/>
        <v>73</v>
      </c>
    </row>
    <row r="54" spans="1:15">
      <c r="A54" t="s">
        <v>24</v>
      </c>
      <c r="B54" t="s">
        <v>17</v>
      </c>
      <c r="C54" t="s">
        <v>18</v>
      </c>
      <c r="D54" t="s">
        <v>14</v>
      </c>
      <c r="E54" t="s">
        <v>15</v>
      </c>
      <c r="F54" s="5" t="s">
        <v>90</v>
      </c>
      <c r="G54">
        <v>1</v>
      </c>
      <c r="H54">
        <v>53</v>
      </c>
      <c r="I54">
        <v>44</v>
      </c>
      <c r="J54">
        <v>42</v>
      </c>
      <c r="K54">
        <f t="shared" si="0"/>
        <v>48.5</v>
      </c>
    </row>
    <row r="55" spans="1:15">
      <c r="A55" t="s">
        <v>24</v>
      </c>
      <c r="B55" t="s">
        <v>38</v>
      </c>
      <c r="C55" t="s">
        <v>39</v>
      </c>
      <c r="D55" t="s">
        <v>14</v>
      </c>
      <c r="E55" t="s">
        <v>15</v>
      </c>
      <c r="F55" s="5" t="s">
        <v>91</v>
      </c>
      <c r="G55">
        <v>14</v>
      </c>
      <c r="H55">
        <v>88</v>
      </c>
      <c r="I55">
        <v>78</v>
      </c>
      <c r="J55">
        <v>75</v>
      </c>
      <c r="K55">
        <f t="shared" si="0"/>
        <v>83</v>
      </c>
    </row>
    <row r="56" spans="1:15">
      <c r="A56" t="s">
        <v>11</v>
      </c>
      <c r="B56" t="s">
        <v>17</v>
      </c>
      <c r="C56" t="s">
        <v>50</v>
      </c>
      <c r="D56" t="s">
        <v>27</v>
      </c>
      <c r="E56" t="s">
        <v>19</v>
      </c>
      <c r="F56" s="5" t="s">
        <v>92</v>
      </c>
      <c r="G56">
        <v>19</v>
      </c>
      <c r="H56">
        <v>71</v>
      </c>
      <c r="I56">
        <v>84</v>
      </c>
      <c r="J56">
        <v>87</v>
      </c>
      <c r="K56">
        <f t="shared" si="0"/>
        <v>77.5</v>
      </c>
    </row>
    <row r="57" spans="1:15">
      <c r="A57" t="s">
        <v>11</v>
      </c>
      <c r="B57" t="s">
        <v>17</v>
      </c>
      <c r="C57" t="s">
        <v>39</v>
      </c>
      <c r="D57" t="s">
        <v>27</v>
      </c>
      <c r="E57" t="s">
        <v>15</v>
      </c>
      <c r="F57" s="5" t="s">
        <v>93</v>
      </c>
      <c r="G57">
        <v>22</v>
      </c>
      <c r="H57">
        <v>33</v>
      </c>
      <c r="I57">
        <v>41</v>
      </c>
      <c r="J57">
        <v>43</v>
      </c>
      <c r="K57">
        <f t="shared" si="0"/>
        <v>37</v>
      </c>
    </row>
    <row r="58" spans="1:15">
      <c r="A58" t="s">
        <v>11</v>
      </c>
      <c r="B58" t="s">
        <v>69</v>
      </c>
      <c r="C58" t="s">
        <v>26</v>
      </c>
      <c r="D58" t="s">
        <v>14</v>
      </c>
      <c r="E58" t="s">
        <v>19</v>
      </c>
      <c r="F58" s="5" t="s">
        <v>94</v>
      </c>
      <c r="G58">
        <v>3</v>
      </c>
      <c r="H58">
        <v>82</v>
      </c>
      <c r="I58">
        <v>85</v>
      </c>
      <c r="J58">
        <v>86</v>
      </c>
      <c r="K58">
        <f t="shared" si="0"/>
        <v>83.5</v>
      </c>
    </row>
    <row r="59" spans="1:15">
      <c r="A59" t="s">
        <v>24</v>
      </c>
      <c r="B59" t="s">
        <v>38</v>
      </c>
      <c r="C59" t="s">
        <v>26</v>
      </c>
      <c r="D59" t="s">
        <v>14</v>
      </c>
      <c r="E59" t="s">
        <v>15</v>
      </c>
      <c r="F59" s="5" t="s">
        <v>95</v>
      </c>
      <c r="G59">
        <v>26</v>
      </c>
      <c r="H59">
        <v>52</v>
      </c>
      <c r="I59">
        <v>55</v>
      </c>
      <c r="J59">
        <v>49</v>
      </c>
      <c r="K59">
        <f t="shared" si="0"/>
        <v>53.5</v>
      </c>
    </row>
    <row r="60" spans="1:15">
      <c r="A60" t="s">
        <v>24</v>
      </c>
      <c r="B60" t="s">
        <v>38</v>
      </c>
      <c r="C60" t="s">
        <v>18</v>
      </c>
      <c r="D60" t="s">
        <v>14</v>
      </c>
      <c r="E60" t="s">
        <v>19</v>
      </c>
      <c r="F60" s="5" t="s">
        <v>96</v>
      </c>
      <c r="G60">
        <v>0</v>
      </c>
      <c r="H60">
        <v>58</v>
      </c>
      <c r="I60">
        <v>59</v>
      </c>
      <c r="J60">
        <v>58</v>
      </c>
      <c r="K60">
        <f t="shared" si="0"/>
        <v>58.5</v>
      </c>
      <c r="N60" s="1" t="s">
        <v>46</v>
      </c>
      <c r="O60" t="s">
        <v>97</v>
      </c>
    </row>
    <row r="61" spans="1:15">
      <c r="A61" t="s">
        <v>11</v>
      </c>
      <c r="B61" t="s">
        <v>17</v>
      </c>
      <c r="C61" t="s">
        <v>50</v>
      </c>
      <c r="D61" t="s">
        <v>27</v>
      </c>
      <c r="E61" t="s">
        <v>15</v>
      </c>
      <c r="F61" s="5" t="s">
        <v>98</v>
      </c>
      <c r="G61">
        <v>3</v>
      </c>
      <c r="H61">
        <v>0</v>
      </c>
      <c r="I61">
        <v>17</v>
      </c>
      <c r="J61">
        <v>10</v>
      </c>
      <c r="K61">
        <f t="shared" si="0"/>
        <v>8.5</v>
      </c>
      <c r="N61" s="2" t="s">
        <v>11</v>
      </c>
      <c r="O61">
        <v>513</v>
      </c>
    </row>
    <row r="62" spans="1:15">
      <c r="A62" t="s">
        <v>24</v>
      </c>
      <c r="B62" t="s">
        <v>69</v>
      </c>
      <c r="C62" t="s">
        <v>13</v>
      </c>
      <c r="D62" t="s">
        <v>27</v>
      </c>
      <c r="E62" t="s">
        <v>19</v>
      </c>
      <c r="F62" s="5" t="s">
        <v>99</v>
      </c>
      <c r="G62">
        <v>25</v>
      </c>
      <c r="H62">
        <v>79</v>
      </c>
      <c r="I62">
        <v>74</v>
      </c>
      <c r="J62">
        <v>72</v>
      </c>
      <c r="K62">
        <f t="shared" si="0"/>
        <v>76.5</v>
      </c>
      <c r="N62" s="2" t="s">
        <v>24</v>
      </c>
      <c r="O62">
        <v>478</v>
      </c>
    </row>
    <row r="63" spans="1:15">
      <c r="A63" t="s">
        <v>24</v>
      </c>
      <c r="B63" t="s">
        <v>25</v>
      </c>
      <c r="C63" t="s">
        <v>50</v>
      </c>
      <c r="D63" t="s">
        <v>27</v>
      </c>
      <c r="E63" t="s">
        <v>15</v>
      </c>
      <c r="F63" s="5" t="s">
        <v>100</v>
      </c>
      <c r="G63">
        <v>2</v>
      </c>
      <c r="H63">
        <v>39</v>
      </c>
      <c r="I63">
        <v>39</v>
      </c>
      <c r="J63">
        <v>34</v>
      </c>
      <c r="K63">
        <f t="shared" si="0"/>
        <v>39</v>
      </c>
      <c r="N63" s="2" t="s">
        <v>56</v>
      </c>
      <c r="O63">
        <v>991</v>
      </c>
    </row>
    <row r="64" spans="1:15">
      <c r="A64" t="s">
        <v>24</v>
      </c>
      <c r="B64" t="s">
        <v>25</v>
      </c>
      <c r="C64" t="s">
        <v>26</v>
      </c>
      <c r="D64" t="s">
        <v>27</v>
      </c>
      <c r="E64" t="s">
        <v>15</v>
      </c>
      <c r="F64" s="5" t="s">
        <v>101</v>
      </c>
      <c r="G64">
        <v>3</v>
      </c>
      <c r="H64">
        <v>62</v>
      </c>
      <c r="I64">
        <v>61</v>
      </c>
      <c r="J64">
        <v>55</v>
      </c>
      <c r="K64">
        <f t="shared" si="0"/>
        <v>61.5</v>
      </c>
    </row>
    <row r="65" spans="1:11">
      <c r="A65" t="s">
        <v>11</v>
      </c>
      <c r="B65" t="s">
        <v>17</v>
      </c>
      <c r="C65" t="s">
        <v>26</v>
      </c>
      <c r="D65" t="s">
        <v>14</v>
      </c>
      <c r="E65" t="s">
        <v>15</v>
      </c>
      <c r="F65" s="5" t="s">
        <v>102</v>
      </c>
      <c r="G65">
        <v>26</v>
      </c>
      <c r="H65">
        <v>69</v>
      </c>
      <c r="I65">
        <v>80</v>
      </c>
      <c r="J65">
        <v>71</v>
      </c>
      <c r="K65">
        <f t="shared" si="0"/>
        <v>74.5</v>
      </c>
    </row>
    <row r="66" spans="1:11">
      <c r="A66" t="s">
        <v>11</v>
      </c>
      <c r="B66" t="s">
        <v>38</v>
      </c>
      <c r="C66" t="s">
        <v>50</v>
      </c>
      <c r="D66" t="s">
        <v>14</v>
      </c>
      <c r="E66" t="s">
        <v>15</v>
      </c>
      <c r="F66" s="5" t="s">
        <v>103</v>
      </c>
      <c r="G66">
        <v>0</v>
      </c>
      <c r="H66">
        <v>59</v>
      </c>
      <c r="I66">
        <v>58</v>
      </c>
      <c r="J66">
        <v>59</v>
      </c>
      <c r="K66">
        <f t="shared" si="0"/>
        <v>58.5</v>
      </c>
    </row>
    <row r="67" spans="1:11">
      <c r="A67" t="s">
        <v>24</v>
      </c>
      <c r="B67" t="s">
        <v>12</v>
      </c>
      <c r="C67" t="s">
        <v>50</v>
      </c>
      <c r="D67" t="s">
        <v>14</v>
      </c>
      <c r="E67" t="s">
        <v>15</v>
      </c>
      <c r="F67" s="5" t="s">
        <v>104</v>
      </c>
      <c r="G67">
        <v>7</v>
      </c>
      <c r="H67">
        <v>67</v>
      </c>
      <c r="I67">
        <v>64</v>
      </c>
      <c r="J67">
        <v>61</v>
      </c>
      <c r="K67">
        <f t="shared" ref="K67:K130" si="1">(H67+I67)/2</f>
        <v>65.5</v>
      </c>
    </row>
    <row r="68" spans="1:11">
      <c r="A68" t="s">
        <v>24</v>
      </c>
      <c r="B68" t="s">
        <v>38</v>
      </c>
      <c r="C68" t="s">
        <v>50</v>
      </c>
      <c r="D68" t="s">
        <v>27</v>
      </c>
      <c r="E68" t="s">
        <v>15</v>
      </c>
      <c r="F68" s="5" t="s">
        <v>105</v>
      </c>
      <c r="G68">
        <v>6</v>
      </c>
      <c r="H68">
        <v>45</v>
      </c>
      <c r="I68">
        <v>37</v>
      </c>
      <c r="J68">
        <v>37</v>
      </c>
      <c r="K68">
        <f t="shared" si="1"/>
        <v>41</v>
      </c>
    </row>
    <row r="69" spans="1:11">
      <c r="A69" t="s">
        <v>11</v>
      </c>
      <c r="B69" t="s">
        <v>17</v>
      </c>
      <c r="C69" t="s">
        <v>18</v>
      </c>
      <c r="D69" t="s">
        <v>14</v>
      </c>
      <c r="E69" t="s">
        <v>15</v>
      </c>
      <c r="F69" s="5" t="s">
        <v>106</v>
      </c>
      <c r="G69">
        <v>7</v>
      </c>
      <c r="H69">
        <v>60</v>
      </c>
      <c r="I69">
        <v>72</v>
      </c>
      <c r="J69">
        <v>74</v>
      </c>
      <c r="K69">
        <f t="shared" si="1"/>
        <v>66</v>
      </c>
    </row>
    <row r="70" spans="1:11">
      <c r="A70" t="s">
        <v>24</v>
      </c>
      <c r="B70" t="s">
        <v>12</v>
      </c>
      <c r="C70" t="s">
        <v>26</v>
      </c>
      <c r="D70" t="s">
        <v>27</v>
      </c>
      <c r="E70" t="s">
        <v>15</v>
      </c>
      <c r="F70">
        <v>4.2105697690000001</v>
      </c>
      <c r="G70">
        <v>26</v>
      </c>
      <c r="H70">
        <v>61</v>
      </c>
      <c r="I70">
        <v>58</v>
      </c>
      <c r="J70">
        <v>56</v>
      </c>
      <c r="K70">
        <f t="shared" si="1"/>
        <v>59.5</v>
      </c>
    </row>
    <row r="71" spans="1:11">
      <c r="A71" t="s">
        <v>11</v>
      </c>
      <c r="B71" t="s">
        <v>17</v>
      </c>
      <c r="C71" t="s">
        <v>26</v>
      </c>
      <c r="D71" t="s">
        <v>14</v>
      </c>
      <c r="E71" t="s">
        <v>15</v>
      </c>
      <c r="F71" s="5" t="s">
        <v>107</v>
      </c>
      <c r="G71">
        <v>13</v>
      </c>
      <c r="H71">
        <v>39</v>
      </c>
      <c r="I71">
        <v>64</v>
      </c>
      <c r="J71">
        <v>57</v>
      </c>
      <c r="K71">
        <f t="shared" si="1"/>
        <v>51.5</v>
      </c>
    </row>
    <row r="72" spans="1:11">
      <c r="A72" t="s">
        <v>11</v>
      </c>
      <c r="B72" t="s">
        <v>38</v>
      </c>
      <c r="C72" t="s">
        <v>18</v>
      </c>
      <c r="D72" t="s">
        <v>27</v>
      </c>
      <c r="E72" t="s">
        <v>19</v>
      </c>
      <c r="F72" s="5" t="s">
        <v>108</v>
      </c>
      <c r="G72">
        <v>22</v>
      </c>
      <c r="H72">
        <v>58</v>
      </c>
      <c r="I72">
        <v>63</v>
      </c>
      <c r="J72">
        <v>73</v>
      </c>
      <c r="K72">
        <f t="shared" si="1"/>
        <v>60.5</v>
      </c>
    </row>
    <row r="73" spans="1:11">
      <c r="A73" t="s">
        <v>24</v>
      </c>
      <c r="B73" t="s">
        <v>38</v>
      </c>
      <c r="C73" t="s">
        <v>18</v>
      </c>
      <c r="D73" t="s">
        <v>14</v>
      </c>
      <c r="E73" t="s">
        <v>19</v>
      </c>
      <c r="F73" s="5" t="s">
        <v>109</v>
      </c>
      <c r="G73">
        <v>27</v>
      </c>
      <c r="H73">
        <v>63</v>
      </c>
      <c r="I73">
        <v>55</v>
      </c>
      <c r="J73">
        <v>63</v>
      </c>
      <c r="K73">
        <f t="shared" si="1"/>
        <v>59</v>
      </c>
    </row>
    <row r="74" spans="1:11">
      <c r="A74" t="s">
        <v>11</v>
      </c>
      <c r="B74" t="s">
        <v>25</v>
      </c>
      <c r="C74" t="s">
        <v>26</v>
      </c>
      <c r="D74" t="s">
        <v>27</v>
      </c>
      <c r="E74" t="s">
        <v>15</v>
      </c>
      <c r="F74" s="5" t="s">
        <v>110</v>
      </c>
      <c r="G74">
        <v>26</v>
      </c>
      <c r="H74">
        <v>41</v>
      </c>
      <c r="I74">
        <v>51</v>
      </c>
      <c r="J74">
        <v>48</v>
      </c>
      <c r="K74">
        <f t="shared" si="1"/>
        <v>46</v>
      </c>
    </row>
    <row r="75" spans="1:11">
      <c r="A75" t="s">
        <v>24</v>
      </c>
      <c r="B75" t="s">
        <v>17</v>
      </c>
      <c r="C75" t="s">
        <v>50</v>
      </c>
      <c r="D75" t="s">
        <v>27</v>
      </c>
      <c r="E75" t="s">
        <v>15</v>
      </c>
      <c r="F75" s="5" t="s">
        <v>111</v>
      </c>
      <c r="G75">
        <v>17</v>
      </c>
      <c r="H75">
        <v>61</v>
      </c>
      <c r="I75">
        <v>57</v>
      </c>
      <c r="J75">
        <v>56</v>
      </c>
      <c r="K75">
        <f t="shared" si="1"/>
        <v>59</v>
      </c>
    </row>
    <row r="76" spans="1:11">
      <c r="A76" t="s">
        <v>24</v>
      </c>
      <c r="B76" t="s">
        <v>17</v>
      </c>
      <c r="C76" t="s">
        <v>50</v>
      </c>
      <c r="D76" t="s">
        <v>14</v>
      </c>
      <c r="E76" t="s">
        <v>15</v>
      </c>
      <c r="F76" s="5" t="s">
        <v>112</v>
      </c>
      <c r="G76">
        <v>26</v>
      </c>
      <c r="H76">
        <v>49</v>
      </c>
      <c r="I76">
        <v>49</v>
      </c>
      <c r="J76">
        <v>41</v>
      </c>
      <c r="K76">
        <f t="shared" si="1"/>
        <v>49</v>
      </c>
    </row>
    <row r="77" spans="1:11">
      <c r="A77" t="s">
        <v>24</v>
      </c>
      <c r="B77" t="s">
        <v>12</v>
      </c>
      <c r="C77" t="s">
        <v>26</v>
      </c>
      <c r="D77" t="s">
        <v>27</v>
      </c>
      <c r="E77" t="s">
        <v>15</v>
      </c>
      <c r="F77" s="5" t="s">
        <v>113</v>
      </c>
      <c r="G77">
        <v>0</v>
      </c>
      <c r="H77">
        <v>44</v>
      </c>
      <c r="I77">
        <v>41</v>
      </c>
      <c r="J77">
        <v>38</v>
      </c>
      <c r="K77">
        <f t="shared" si="1"/>
        <v>42.5</v>
      </c>
    </row>
    <row r="78" spans="1:11">
      <c r="A78" t="s">
        <v>24</v>
      </c>
      <c r="B78" t="s">
        <v>69</v>
      </c>
      <c r="C78" t="s">
        <v>50</v>
      </c>
      <c r="D78" t="s">
        <v>14</v>
      </c>
      <c r="E78" t="s">
        <v>15</v>
      </c>
      <c r="F78" s="5" t="s">
        <v>114</v>
      </c>
      <c r="G78">
        <v>15</v>
      </c>
      <c r="H78">
        <v>30</v>
      </c>
      <c r="I78">
        <v>26</v>
      </c>
      <c r="J78">
        <v>22</v>
      </c>
      <c r="K78">
        <f t="shared" si="1"/>
        <v>28</v>
      </c>
    </row>
    <row r="79" spans="1:11">
      <c r="A79" t="s">
        <v>24</v>
      </c>
      <c r="B79" t="s">
        <v>25</v>
      </c>
      <c r="C79" t="s">
        <v>13</v>
      </c>
      <c r="D79" t="s">
        <v>14</v>
      </c>
      <c r="E79" t="s">
        <v>19</v>
      </c>
      <c r="F79" s="5" t="s">
        <v>115</v>
      </c>
      <c r="G79">
        <v>13</v>
      </c>
      <c r="H79">
        <v>80</v>
      </c>
      <c r="I79">
        <v>78</v>
      </c>
      <c r="J79">
        <v>81</v>
      </c>
      <c r="K79">
        <f t="shared" si="1"/>
        <v>79</v>
      </c>
    </row>
    <row r="80" spans="1:11">
      <c r="A80" t="s">
        <v>11</v>
      </c>
      <c r="B80" t="s">
        <v>38</v>
      </c>
      <c r="C80" t="s">
        <v>50</v>
      </c>
      <c r="D80" t="s">
        <v>14</v>
      </c>
      <c r="E80" t="s">
        <v>19</v>
      </c>
      <c r="F80" s="5" t="s">
        <v>116</v>
      </c>
      <c r="G80">
        <v>14</v>
      </c>
      <c r="H80">
        <v>61</v>
      </c>
      <c r="I80">
        <v>74</v>
      </c>
      <c r="J80">
        <v>72</v>
      </c>
      <c r="K80">
        <f t="shared" si="1"/>
        <v>67.5</v>
      </c>
    </row>
    <row r="81" spans="1:11">
      <c r="A81" t="s">
        <v>11</v>
      </c>
      <c r="B81" t="s">
        <v>69</v>
      </c>
      <c r="C81" t="s">
        <v>22</v>
      </c>
      <c r="D81" t="s">
        <v>14</v>
      </c>
      <c r="E81" t="s">
        <v>15</v>
      </c>
      <c r="F81" s="5" t="s">
        <v>117</v>
      </c>
      <c r="G81">
        <v>2</v>
      </c>
      <c r="H81">
        <v>62</v>
      </c>
      <c r="I81">
        <v>68</v>
      </c>
      <c r="J81">
        <v>68</v>
      </c>
      <c r="K81">
        <f t="shared" si="1"/>
        <v>65</v>
      </c>
    </row>
    <row r="82" spans="1:11">
      <c r="A82" t="s">
        <v>11</v>
      </c>
      <c r="B82" t="s">
        <v>12</v>
      </c>
      <c r="C82" t="s">
        <v>26</v>
      </c>
      <c r="D82" t="s">
        <v>14</v>
      </c>
      <c r="E82" t="s">
        <v>15</v>
      </c>
      <c r="F82" s="5" t="s">
        <v>118</v>
      </c>
      <c r="G82">
        <v>17</v>
      </c>
      <c r="H82">
        <v>47</v>
      </c>
      <c r="I82">
        <v>49</v>
      </c>
      <c r="J82">
        <v>50</v>
      </c>
      <c r="K82">
        <f t="shared" si="1"/>
        <v>48</v>
      </c>
    </row>
    <row r="83" spans="1:11">
      <c r="A83" t="s">
        <v>24</v>
      </c>
      <c r="B83" t="s">
        <v>12</v>
      </c>
      <c r="C83" t="s">
        <v>39</v>
      </c>
      <c r="D83" t="s">
        <v>27</v>
      </c>
      <c r="E83" t="s">
        <v>15</v>
      </c>
      <c r="F83">
        <v>14.40645833</v>
      </c>
      <c r="G83">
        <v>11</v>
      </c>
      <c r="H83">
        <v>49</v>
      </c>
      <c r="I83">
        <v>45</v>
      </c>
      <c r="J83">
        <v>45</v>
      </c>
      <c r="K83">
        <f t="shared" si="1"/>
        <v>47</v>
      </c>
    </row>
    <row r="84" spans="1:11">
      <c r="A84" t="s">
        <v>24</v>
      </c>
      <c r="B84" t="s">
        <v>25</v>
      </c>
      <c r="C84" t="s">
        <v>18</v>
      </c>
      <c r="D84" t="s">
        <v>27</v>
      </c>
      <c r="E84" t="s">
        <v>19</v>
      </c>
      <c r="F84" s="5" t="s">
        <v>119</v>
      </c>
      <c r="G84">
        <v>16</v>
      </c>
      <c r="H84">
        <v>50</v>
      </c>
      <c r="I84">
        <v>47</v>
      </c>
      <c r="J84">
        <v>54</v>
      </c>
      <c r="K84">
        <f t="shared" si="1"/>
        <v>48.5</v>
      </c>
    </row>
    <row r="85" spans="1:11">
      <c r="A85" t="s">
        <v>24</v>
      </c>
      <c r="B85" t="s">
        <v>69</v>
      </c>
      <c r="C85" t="s">
        <v>26</v>
      </c>
      <c r="D85" t="s">
        <v>14</v>
      </c>
      <c r="E85" t="s">
        <v>15</v>
      </c>
      <c r="F85" s="5" t="s">
        <v>120</v>
      </c>
      <c r="G85">
        <v>1</v>
      </c>
      <c r="H85">
        <v>72</v>
      </c>
      <c r="I85">
        <v>64</v>
      </c>
      <c r="J85">
        <v>63</v>
      </c>
      <c r="K85">
        <f t="shared" si="1"/>
        <v>68</v>
      </c>
    </row>
    <row r="86" spans="1:11">
      <c r="A86" t="s">
        <v>24</v>
      </c>
      <c r="B86" t="s">
        <v>38</v>
      </c>
      <c r="C86" t="s">
        <v>39</v>
      </c>
      <c r="D86" t="s">
        <v>27</v>
      </c>
      <c r="E86" t="s">
        <v>15</v>
      </c>
      <c r="F86" s="5" t="s">
        <v>121</v>
      </c>
      <c r="G86">
        <v>1</v>
      </c>
      <c r="H86">
        <v>42</v>
      </c>
      <c r="I86">
        <v>39</v>
      </c>
      <c r="J86">
        <v>34</v>
      </c>
      <c r="K86">
        <f t="shared" si="1"/>
        <v>40.5</v>
      </c>
    </row>
    <row r="87" spans="1:11">
      <c r="A87" t="s">
        <v>11</v>
      </c>
      <c r="B87" t="s">
        <v>17</v>
      </c>
      <c r="C87" t="s">
        <v>18</v>
      </c>
      <c r="D87" t="s">
        <v>14</v>
      </c>
      <c r="E87" t="s">
        <v>15</v>
      </c>
      <c r="F87" s="5" t="s">
        <v>122</v>
      </c>
      <c r="G87">
        <v>20</v>
      </c>
      <c r="H87">
        <v>73</v>
      </c>
      <c r="I87">
        <v>80</v>
      </c>
      <c r="J87">
        <v>82</v>
      </c>
      <c r="K87">
        <f t="shared" si="1"/>
        <v>76.5</v>
      </c>
    </row>
    <row r="88" spans="1:11">
      <c r="A88" t="s">
        <v>11</v>
      </c>
      <c r="B88" t="s">
        <v>17</v>
      </c>
      <c r="C88" t="s">
        <v>18</v>
      </c>
      <c r="D88" t="s">
        <v>27</v>
      </c>
      <c r="E88" t="s">
        <v>15</v>
      </c>
      <c r="F88" s="5" t="s">
        <v>123</v>
      </c>
      <c r="G88">
        <v>1</v>
      </c>
      <c r="H88">
        <v>76</v>
      </c>
      <c r="I88">
        <v>83</v>
      </c>
      <c r="J88">
        <v>88</v>
      </c>
      <c r="K88">
        <f t="shared" si="1"/>
        <v>79.5</v>
      </c>
    </row>
    <row r="89" spans="1:11">
      <c r="A89" t="s">
        <v>11</v>
      </c>
      <c r="B89" t="s">
        <v>38</v>
      </c>
      <c r="C89" t="s">
        <v>26</v>
      </c>
      <c r="D89" t="s">
        <v>14</v>
      </c>
      <c r="E89" t="s">
        <v>15</v>
      </c>
      <c r="F89" s="5" t="s">
        <v>124</v>
      </c>
      <c r="G89">
        <v>17</v>
      </c>
      <c r="H89">
        <v>71</v>
      </c>
      <c r="I89">
        <v>71</v>
      </c>
      <c r="J89">
        <v>74</v>
      </c>
      <c r="K89">
        <f t="shared" si="1"/>
        <v>71</v>
      </c>
    </row>
    <row r="90" spans="1:11">
      <c r="A90" t="s">
        <v>11</v>
      </c>
      <c r="B90" t="s">
        <v>25</v>
      </c>
      <c r="C90" t="s">
        <v>18</v>
      </c>
      <c r="D90" t="s">
        <v>14</v>
      </c>
      <c r="E90" t="s">
        <v>15</v>
      </c>
      <c r="F90" s="5" t="s">
        <v>125</v>
      </c>
      <c r="G90">
        <v>25</v>
      </c>
      <c r="H90">
        <v>58</v>
      </c>
      <c r="I90">
        <v>70</v>
      </c>
      <c r="J90">
        <v>67</v>
      </c>
      <c r="K90">
        <f t="shared" si="1"/>
        <v>64</v>
      </c>
    </row>
    <row r="91" spans="1:11">
      <c r="A91" t="s">
        <v>11</v>
      </c>
      <c r="B91" t="s">
        <v>38</v>
      </c>
      <c r="C91" t="s">
        <v>50</v>
      </c>
      <c r="D91" t="s">
        <v>14</v>
      </c>
      <c r="E91" t="s">
        <v>15</v>
      </c>
      <c r="F91" s="5" t="s">
        <v>126</v>
      </c>
      <c r="G91">
        <v>15</v>
      </c>
      <c r="H91">
        <v>73</v>
      </c>
      <c r="I91">
        <v>86</v>
      </c>
      <c r="J91">
        <v>82</v>
      </c>
      <c r="K91">
        <f t="shared" si="1"/>
        <v>79.5</v>
      </c>
    </row>
    <row r="92" spans="1:11">
      <c r="A92" t="s">
        <v>11</v>
      </c>
      <c r="B92" t="s">
        <v>17</v>
      </c>
      <c r="C92" t="s">
        <v>13</v>
      </c>
      <c r="D92" t="s">
        <v>14</v>
      </c>
      <c r="E92" t="s">
        <v>15</v>
      </c>
      <c r="F92" s="5" t="s">
        <v>127</v>
      </c>
      <c r="G92">
        <v>25</v>
      </c>
      <c r="H92">
        <v>65</v>
      </c>
      <c r="I92">
        <v>72</v>
      </c>
      <c r="J92">
        <v>74</v>
      </c>
      <c r="K92">
        <f t="shared" si="1"/>
        <v>68.5</v>
      </c>
    </row>
    <row r="93" spans="1:11">
      <c r="A93" t="s">
        <v>24</v>
      </c>
      <c r="B93" t="s">
        <v>17</v>
      </c>
      <c r="C93" t="s">
        <v>39</v>
      </c>
      <c r="D93" t="s">
        <v>27</v>
      </c>
      <c r="E93" t="s">
        <v>15</v>
      </c>
      <c r="F93" s="5" t="s">
        <v>128</v>
      </c>
      <c r="G93">
        <v>25</v>
      </c>
      <c r="H93">
        <v>27</v>
      </c>
      <c r="I93">
        <v>34</v>
      </c>
      <c r="J93">
        <v>36</v>
      </c>
      <c r="K93">
        <f t="shared" si="1"/>
        <v>30.5</v>
      </c>
    </row>
    <row r="94" spans="1:11">
      <c r="A94" t="s">
        <v>24</v>
      </c>
      <c r="B94" t="s">
        <v>17</v>
      </c>
      <c r="C94" t="s">
        <v>39</v>
      </c>
      <c r="D94" t="s">
        <v>14</v>
      </c>
      <c r="E94" t="s">
        <v>15</v>
      </c>
      <c r="F94" s="5" t="s">
        <v>129</v>
      </c>
      <c r="G94">
        <v>17</v>
      </c>
      <c r="H94">
        <v>71</v>
      </c>
      <c r="I94">
        <v>79</v>
      </c>
      <c r="J94">
        <v>71</v>
      </c>
      <c r="K94">
        <f t="shared" si="1"/>
        <v>75</v>
      </c>
    </row>
    <row r="95" spans="1:11">
      <c r="A95" t="s">
        <v>24</v>
      </c>
      <c r="B95" t="s">
        <v>17</v>
      </c>
      <c r="C95" t="s">
        <v>26</v>
      </c>
      <c r="D95" t="s">
        <v>27</v>
      </c>
      <c r="E95" t="s">
        <v>19</v>
      </c>
      <c r="F95" s="5" t="s">
        <v>130</v>
      </c>
      <c r="G95">
        <v>27</v>
      </c>
      <c r="H95">
        <v>43</v>
      </c>
      <c r="I95">
        <v>45</v>
      </c>
      <c r="J95">
        <v>50</v>
      </c>
      <c r="K95">
        <f t="shared" si="1"/>
        <v>44</v>
      </c>
    </row>
    <row r="96" spans="1:11">
      <c r="A96" t="s">
        <v>11</v>
      </c>
      <c r="B96" t="s">
        <v>12</v>
      </c>
      <c r="C96" t="s">
        <v>18</v>
      </c>
      <c r="D96" t="s">
        <v>14</v>
      </c>
      <c r="E96" t="s">
        <v>15</v>
      </c>
      <c r="F96" s="5" t="s">
        <v>131</v>
      </c>
      <c r="G96">
        <v>13</v>
      </c>
      <c r="H96">
        <v>79</v>
      </c>
      <c r="I96">
        <v>86</v>
      </c>
      <c r="J96">
        <v>92</v>
      </c>
      <c r="K96">
        <f t="shared" si="1"/>
        <v>82.5</v>
      </c>
    </row>
    <row r="97" spans="1:11">
      <c r="A97" t="s">
        <v>24</v>
      </c>
      <c r="B97" t="s">
        <v>17</v>
      </c>
      <c r="C97" t="s">
        <v>26</v>
      </c>
      <c r="D97" t="s">
        <v>27</v>
      </c>
      <c r="E97" t="s">
        <v>19</v>
      </c>
      <c r="F97" s="5" t="s">
        <v>132</v>
      </c>
      <c r="G97">
        <v>25</v>
      </c>
      <c r="H97">
        <v>78</v>
      </c>
      <c r="I97">
        <v>81</v>
      </c>
      <c r="J97">
        <v>82</v>
      </c>
      <c r="K97">
        <f t="shared" si="1"/>
        <v>79.5</v>
      </c>
    </row>
    <row r="98" spans="1:11">
      <c r="A98" t="s">
        <v>24</v>
      </c>
      <c r="B98" t="s">
        <v>12</v>
      </c>
      <c r="C98" t="s">
        <v>50</v>
      </c>
      <c r="D98" t="s">
        <v>14</v>
      </c>
      <c r="E98" t="s">
        <v>19</v>
      </c>
      <c r="F98" s="5" t="s">
        <v>133</v>
      </c>
      <c r="G98">
        <v>13</v>
      </c>
      <c r="H98">
        <v>65</v>
      </c>
      <c r="I98">
        <v>66</v>
      </c>
      <c r="J98">
        <v>62</v>
      </c>
      <c r="K98">
        <f t="shared" si="1"/>
        <v>65.5</v>
      </c>
    </row>
    <row r="99" spans="1:11">
      <c r="A99" t="s">
        <v>11</v>
      </c>
      <c r="B99" t="s">
        <v>69</v>
      </c>
      <c r="C99" t="s">
        <v>18</v>
      </c>
      <c r="D99" t="s">
        <v>14</v>
      </c>
      <c r="E99" t="s">
        <v>19</v>
      </c>
      <c r="F99" s="5" t="s">
        <v>134</v>
      </c>
      <c r="G99">
        <v>26</v>
      </c>
      <c r="H99">
        <v>63</v>
      </c>
      <c r="I99">
        <v>72</v>
      </c>
      <c r="J99">
        <v>70</v>
      </c>
      <c r="K99">
        <f t="shared" si="1"/>
        <v>67.5</v>
      </c>
    </row>
    <row r="100" spans="1:11">
      <c r="A100" t="s">
        <v>11</v>
      </c>
      <c r="B100" t="s">
        <v>38</v>
      </c>
      <c r="C100" t="s">
        <v>18</v>
      </c>
      <c r="D100" t="s">
        <v>27</v>
      </c>
      <c r="E100" t="s">
        <v>15</v>
      </c>
      <c r="F100" s="5" t="s">
        <v>135</v>
      </c>
      <c r="G100">
        <v>5</v>
      </c>
      <c r="H100">
        <v>58</v>
      </c>
      <c r="I100">
        <v>67</v>
      </c>
      <c r="J100">
        <v>62</v>
      </c>
      <c r="K100">
        <f t="shared" si="1"/>
        <v>62.5</v>
      </c>
    </row>
    <row r="101" spans="1:11">
      <c r="A101" t="s">
        <v>11</v>
      </c>
      <c r="B101" t="s">
        <v>38</v>
      </c>
      <c r="C101" t="s">
        <v>13</v>
      </c>
      <c r="D101" t="s">
        <v>14</v>
      </c>
      <c r="E101" t="s">
        <v>15</v>
      </c>
      <c r="F101" s="5" t="s">
        <v>136</v>
      </c>
      <c r="G101">
        <v>22</v>
      </c>
      <c r="H101">
        <v>65</v>
      </c>
      <c r="I101">
        <v>67</v>
      </c>
      <c r="J101">
        <v>62</v>
      </c>
      <c r="K101">
        <f t="shared" si="1"/>
        <v>66</v>
      </c>
    </row>
    <row r="102" spans="1:11">
      <c r="A102" t="s">
        <v>24</v>
      </c>
      <c r="B102" t="s">
        <v>12</v>
      </c>
      <c r="C102" t="s">
        <v>18</v>
      </c>
      <c r="D102" t="s">
        <v>14</v>
      </c>
      <c r="E102" t="s">
        <v>15</v>
      </c>
      <c r="F102" s="5" t="s">
        <v>137</v>
      </c>
      <c r="G102">
        <v>29</v>
      </c>
      <c r="H102">
        <v>79</v>
      </c>
      <c r="I102">
        <v>67</v>
      </c>
      <c r="J102">
        <v>67</v>
      </c>
      <c r="K102">
        <f t="shared" si="1"/>
        <v>73</v>
      </c>
    </row>
    <row r="103" spans="1:11">
      <c r="A103" t="s">
        <v>24</v>
      </c>
      <c r="B103" t="s">
        <v>38</v>
      </c>
      <c r="C103" t="s">
        <v>13</v>
      </c>
      <c r="D103" t="s">
        <v>14</v>
      </c>
      <c r="E103" t="s">
        <v>19</v>
      </c>
      <c r="F103" s="5" t="s">
        <v>138</v>
      </c>
      <c r="G103">
        <v>24</v>
      </c>
      <c r="H103">
        <v>68</v>
      </c>
      <c r="I103">
        <v>74</v>
      </c>
      <c r="J103">
        <v>74</v>
      </c>
      <c r="K103">
        <f t="shared" si="1"/>
        <v>71</v>
      </c>
    </row>
    <row r="104" spans="1:11">
      <c r="A104" t="s">
        <v>11</v>
      </c>
      <c r="B104" t="s">
        <v>38</v>
      </c>
      <c r="C104" t="s">
        <v>26</v>
      </c>
      <c r="D104" t="s">
        <v>14</v>
      </c>
      <c r="E104" t="s">
        <v>15</v>
      </c>
      <c r="F104" s="5" t="s">
        <v>139</v>
      </c>
      <c r="G104">
        <v>26</v>
      </c>
      <c r="H104">
        <v>85</v>
      </c>
      <c r="I104">
        <v>91</v>
      </c>
      <c r="J104">
        <v>89</v>
      </c>
      <c r="K104">
        <f t="shared" si="1"/>
        <v>88</v>
      </c>
    </row>
    <row r="105" spans="1:11">
      <c r="A105" t="s">
        <v>24</v>
      </c>
      <c r="B105" t="s">
        <v>12</v>
      </c>
      <c r="C105" t="s">
        <v>39</v>
      </c>
      <c r="D105" t="s">
        <v>14</v>
      </c>
      <c r="E105" t="s">
        <v>19</v>
      </c>
      <c r="F105" s="5" t="s">
        <v>140</v>
      </c>
      <c r="G105">
        <v>8</v>
      </c>
      <c r="H105">
        <v>60</v>
      </c>
      <c r="I105">
        <v>44</v>
      </c>
      <c r="J105">
        <v>47</v>
      </c>
      <c r="K105">
        <f t="shared" si="1"/>
        <v>52</v>
      </c>
    </row>
    <row r="106" spans="1:11">
      <c r="A106" t="s">
        <v>24</v>
      </c>
      <c r="B106" t="s">
        <v>17</v>
      </c>
      <c r="C106" t="s">
        <v>18</v>
      </c>
      <c r="D106" t="s">
        <v>14</v>
      </c>
      <c r="E106" t="s">
        <v>19</v>
      </c>
      <c r="F106" s="5" t="s">
        <v>141</v>
      </c>
      <c r="G106">
        <v>27</v>
      </c>
      <c r="H106">
        <v>98</v>
      </c>
      <c r="I106">
        <v>86</v>
      </c>
      <c r="J106">
        <v>90</v>
      </c>
      <c r="K106">
        <f t="shared" si="1"/>
        <v>92</v>
      </c>
    </row>
    <row r="107" spans="1:11">
      <c r="A107" t="s">
        <v>11</v>
      </c>
      <c r="B107" t="s">
        <v>17</v>
      </c>
      <c r="C107" t="s">
        <v>18</v>
      </c>
      <c r="D107" t="s">
        <v>14</v>
      </c>
      <c r="E107" t="s">
        <v>15</v>
      </c>
      <c r="F107" s="5" t="s">
        <v>142</v>
      </c>
      <c r="G107">
        <v>17</v>
      </c>
      <c r="H107">
        <v>58</v>
      </c>
      <c r="I107">
        <v>67</v>
      </c>
      <c r="J107">
        <v>72</v>
      </c>
      <c r="K107">
        <f t="shared" si="1"/>
        <v>62.5</v>
      </c>
    </row>
    <row r="108" spans="1:11">
      <c r="A108" t="s">
        <v>11</v>
      </c>
      <c r="B108" t="s">
        <v>38</v>
      </c>
      <c r="C108" t="s">
        <v>22</v>
      </c>
      <c r="D108" t="s">
        <v>14</v>
      </c>
      <c r="E108" t="s">
        <v>15</v>
      </c>
      <c r="F108" s="5" t="s">
        <v>143</v>
      </c>
      <c r="G108">
        <v>20</v>
      </c>
      <c r="H108">
        <v>87</v>
      </c>
      <c r="I108">
        <v>100</v>
      </c>
      <c r="J108">
        <v>100</v>
      </c>
      <c r="K108">
        <f t="shared" si="1"/>
        <v>93.5</v>
      </c>
    </row>
    <row r="109" spans="1:11">
      <c r="A109" t="s">
        <v>24</v>
      </c>
      <c r="B109" t="s">
        <v>69</v>
      </c>
      <c r="C109" t="s">
        <v>26</v>
      </c>
      <c r="D109" t="s">
        <v>14</v>
      </c>
      <c r="E109" t="s">
        <v>19</v>
      </c>
      <c r="F109" s="5" t="s">
        <v>144</v>
      </c>
      <c r="G109">
        <v>13</v>
      </c>
      <c r="H109">
        <v>66</v>
      </c>
      <c r="I109">
        <v>63</v>
      </c>
      <c r="J109">
        <v>64</v>
      </c>
      <c r="K109">
        <f t="shared" si="1"/>
        <v>64.5</v>
      </c>
    </row>
    <row r="110" spans="1:11">
      <c r="A110" t="s">
        <v>11</v>
      </c>
      <c r="B110" t="s">
        <v>12</v>
      </c>
      <c r="C110" t="s">
        <v>26</v>
      </c>
      <c r="D110" t="s">
        <v>27</v>
      </c>
      <c r="E110" t="s">
        <v>15</v>
      </c>
      <c r="F110" s="5" t="s">
        <v>145</v>
      </c>
      <c r="G110">
        <v>8</v>
      </c>
      <c r="H110">
        <v>52</v>
      </c>
      <c r="I110">
        <v>76</v>
      </c>
      <c r="J110">
        <v>70</v>
      </c>
      <c r="K110">
        <f t="shared" si="1"/>
        <v>64</v>
      </c>
    </row>
    <row r="111" spans="1:11">
      <c r="A111" t="s">
        <v>11</v>
      </c>
      <c r="B111" t="s">
        <v>12</v>
      </c>
      <c r="C111" t="s">
        <v>50</v>
      </c>
      <c r="D111" t="s">
        <v>14</v>
      </c>
      <c r="E111" t="s">
        <v>15</v>
      </c>
      <c r="F111" s="5" t="s">
        <v>146</v>
      </c>
      <c r="G111">
        <v>5</v>
      </c>
      <c r="H111">
        <v>70</v>
      </c>
      <c r="I111">
        <v>64</v>
      </c>
      <c r="J111">
        <v>72</v>
      </c>
      <c r="K111">
        <f t="shared" si="1"/>
        <v>67</v>
      </c>
    </row>
    <row r="112" spans="1:11">
      <c r="A112" t="s">
        <v>11</v>
      </c>
      <c r="B112" t="s">
        <v>38</v>
      </c>
      <c r="C112" t="s">
        <v>26</v>
      </c>
      <c r="D112" t="s">
        <v>27</v>
      </c>
      <c r="E112" t="s">
        <v>19</v>
      </c>
      <c r="F112" s="5" t="s">
        <v>147</v>
      </c>
      <c r="G112">
        <v>1</v>
      </c>
      <c r="H112">
        <v>77</v>
      </c>
      <c r="I112">
        <v>89</v>
      </c>
      <c r="J112">
        <v>98</v>
      </c>
      <c r="K112">
        <f t="shared" si="1"/>
        <v>83</v>
      </c>
    </row>
    <row r="113" spans="1:11">
      <c r="A113" t="s">
        <v>24</v>
      </c>
      <c r="B113" t="s">
        <v>17</v>
      </c>
      <c r="C113" t="s">
        <v>39</v>
      </c>
      <c r="D113" t="s">
        <v>14</v>
      </c>
      <c r="E113" t="s">
        <v>15</v>
      </c>
      <c r="F113" s="5" t="s">
        <v>148</v>
      </c>
      <c r="G113">
        <v>8</v>
      </c>
      <c r="H113">
        <v>62</v>
      </c>
      <c r="I113">
        <v>55</v>
      </c>
      <c r="J113">
        <v>49</v>
      </c>
      <c r="K113">
        <f t="shared" si="1"/>
        <v>58.5</v>
      </c>
    </row>
    <row r="114" spans="1:11">
      <c r="A114" t="s">
        <v>24</v>
      </c>
      <c r="B114" t="s">
        <v>25</v>
      </c>
      <c r="C114" t="s">
        <v>26</v>
      </c>
      <c r="D114" t="s">
        <v>14</v>
      </c>
      <c r="E114" t="s">
        <v>15</v>
      </c>
      <c r="F114" s="5" t="s">
        <v>149</v>
      </c>
      <c r="G114">
        <v>20</v>
      </c>
      <c r="H114">
        <v>54</v>
      </c>
      <c r="I114">
        <v>53</v>
      </c>
      <c r="J114">
        <v>47</v>
      </c>
      <c r="K114">
        <f t="shared" si="1"/>
        <v>53.5</v>
      </c>
    </row>
    <row r="115" spans="1:11">
      <c r="A115" t="s">
        <v>11</v>
      </c>
      <c r="B115" t="s">
        <v>38</v>
      </c>
      <c r="C115" t="s">
        <v>18</v>
      </c>
      <c r="D115" t="s">
        <v>14</v>
      </c>
      <c r="E115" t="s">
        <v>15</v>
      </c>
      <c r="F115" s="5" t="s">
        <v>150</v>
      </c>
      <c r="G115">
        <v>17</v>
      </c>
      <c r="H115">
        <v>51</v>
      </c>
      <c r="I115">
        <v>58</v>
      </c>
      <c r="J115">
        <v>54</v>
      </c>
      <c r="K115">
        <f t="shared" si="1"/>
        <v>54.5</v>
      </c>
    </row>
    <row r="116" spans="1:11">
      <c r="A116" t="s">
        <v>11</v>
      </c>
      <c r="B116" t="s">
        <v>69</v>
      </c>
      <c r="C116" t="s">
        <v>13</v>
      </c>
      <c r="D116" t="s">
        <v>14</v>
      </c>
      <c r="E116" t="s">
        <v>19</v>
      </c>
      <c r="F116" s="5" t="s">
        <v>151</v>
      </c>
      <c r="G116">
        <v>0</v>
      </c>
      <c r="H116">
        <v>99</v>
      </c>
      <c r="I116">
        <v>100</v>
      </c>
      <c r="J116">
        <v>100</v>
      </c>
      <c r="K116">
        <f t="shared" si="1"/>
        <v>99.5</v>
      </c>
    </row>
    <row r="117" spans="1:11">
      <c r="A117" t="s">
        <v>24</v>
      </c>
      <c r="B117" t="s">
        <v>17</v>
      </c>
      <c r="C117" t="s">
        <v>39</v>
      </c>
      <c r="D117" t="s">
        <v>14</v>
      </c>
      <c r="E117" t="s">
        <v>15</v>
      </c>
      <c r="F117" s="5" t="s">
        <v>152</v>
      </c>
      <c r="G117">
        <v>22</v>
      </c>
      <c r="H117">
        <v>84</v>
      </c>
      <c r="I117">
        <v>77</v>
      </c>
      <c r="J117">
        <v>74</v>
      </c>
      <c r="K117">
        <f t="shared" si="1"/>
        <v>80.5</v>
      </c>
    </row>
    <row r="118" spans="1:11">
      <c r="A118" t="s">
        <v>11</v>
      </c>
      <c r="B118" t="s">
        <v>12</v>
      </c>
      <c r="C118" t="s">
        <v>13</v>
      </c>
      <c r="D118" t="s">
        <v>27</v>
      </c>
      <c r="E118" t="s">
        <v>15</v>
      </c>
      <c r="F118" s="5" t="s">
        <v>153</v>
      </c>
      <c r="G118">
        <v>0</v>
      </c>
      <c r="H118">
        <v>75</v>
      </c>
      <c r="I118">
        <v>85</v>
      </c>
      <c r="J118">
        <v>82</v>
      </c>
      <c r="K118">
        <f t="shared" si="1"/>
        <v>80</v>
      </c>
    </row>
    <row r="119" spans="1:11">
      <c r="A119" t="s">
        <v>11</v>
      </c>
      <c r="B119" t="s">
        <v>38</v>
      </c>
      <c r="C119" t="s">
        <v>13</v>
      </c>
      <c r="D119" t="s">
        <v>14</v>
      </c>
      <c r="E119" t="s">
        <v>15</v>
      </c>
      <c r="F119" s="5" t="s">
        <v>154</v>
      </c>
      <c r="G119">
        <v>8</v>
      </c>
      <c r="H119">
        <v>78</v>
      </c>
      <c r="I119">
        <v>82</v>
      </c>
      <c r="J119">
        <v>79</v>
      </c>
      <c r="K119">
        <f t="shared" si="1"/>
        <v>80</v>
      </c>
    </row>
    <row r="120" spans="1:11">
      <c r="A120" t="s">
        <v>11</v>
      </c>
      <c r="B120" t="s">
        <v>38</v>
      </c>
      <c r="C120" t="s">
        <v>50</v>
      </c>
      <c r="D120" t="s">
        <v>14</v>
      </c>
      <c r="E120" t="s">
        <v>15</v>
      </c>
      <c r="F120" s="5" t="s">
        <v>155</v>
      </c>
      <c r="G120">
        <v>12</v>
      </c>
      <c r="H120">
        <v>51</v>
      </c>
      <c r="I120">
        <v>63</v>
      </c>
      <c r="J120">
        <v>61</v>
      </c>
      <c r="K120">
        <f t="shared" si="1"/>
        <v>57</v>
      </c>
    </row>
    <row r="121" spans="1:11">
      <c r="A121" t="s">
        <v>11</v>
      </c>
      <c r="B121" t="s">
        <v>17</v>
      </c>
      <c r="C121" t="s">
        <v>18</v>
      </c>
      <c r="D121" t="s">
        <v>14</v>
      </c>
      <c r="E121" t="s">
        <v>15</v>
      </c>
      <c r="F121" s="5" t="s">
        <v>156</v>
      </c>
      <c r="G121">
        <v>24</v>
      </c>
      <c r="H121">
        <v>55</v>
      </c>
      <c r="I121">
        <v>69</v>
      </c>
      <c r="J121">
        <v>65</v>
      </c>
      <c r="K121">
        <f t="shared" si="1"/>
        <v>62</v>
      </c>
    </row>
    <row r="122" spans="1:11">
      <c r="A122" t="s">
        <v>11</v>
      </c>
      <c r="B122" t="s">
        <v>17</v>
      </c>
      <c r="C122" t="s">
        <v>13</v>
      </c>
      <c r="D122" t="s">
        <v>14</v>
      </c>
      <c r="E122" t="s">
        <v>19</v>
      </c>
      <c r="F122" s="5" t="s">
        <v>157</v>
      </c>
      <c r="G122">
        <v>22</v>
      </c>
      <c r="H122">
        <v>79</v>
      </c>
      <c r="I122">
        <v>92</v>
      </c>
      <c r="J122">
        <v>89</v>
      </c>
      <c r="K122">
        <f t="shared" si="1"/>
        <v>85.5</v>
      </c>
    </row>
    <row r="123" spans="1:11">
      <c r="A123" t="s">
        <v>24</v>
      </c>
      <c r="B123" t="s">
        <v>12</v>
      </c>
      <c r="C123" t="s">
        <v>26</v>
      </c>
      <c r="D123" t="s">
        <v>14</v>
      </c>
      <c r="E123" t="s">
        <v>19</v>
      </c>
      <c r="F123" s="5" t="s">
        <v>158</v>
      </c>
      <c r="G123">
        <v>29</v>
      </c>
      <c r="H123">
        <v>91</v>
      </c>
      <c r="I123">
        <v>89</v>
      </c>
      <c r="J123">
        <v>92</v>
      </c>
      <c r="K123">
        <f t="shared" si="1"/>
        <v>90</v>
      </c>
    </row>
    <row r="124" spans="1:11">
      <c r="A124" t="s">
        <v>11</v>
      </c>
      <c r="B124" t="s">
        <v>17</v>
      </c>
      <c r="C124" t="s">
        <v>18</v>
      </c>
      <c r="D124" t="s">
        <v>14</v>
      </c>
      <c r="E124" t="s">
        <v>19</v>
      </c>
      <c r="F124" s="5" t="s">
        <v>159</v>
      </c>
      <c r="G124">
        <v>15</v>
      </c>
      <c r="H124">
        <v>88</v>
      </c>
      <c r="I124">
        <v>93</v>
      </c>
      <c r="J124">
        <v>93</v>
      </c>
      <c r="K124">
        <f t="shared" si="1"/>
        <v>90.5</v>
      </c>
    </row>
    <row r="125" spans="1:11">
      <c r="A125" t="s">
        <v>24</v>
      </c>
      <c r="B125" t="s">
        <v>38</v>
      </c>
      <c r="C125" t="s">
        <v>39</v>
      </c>
      <c r="D125" t="s">
        <v>27</v>
      </c>
      <c r="E125" t="s">
        <v>15</v>
      </c>
      <c r="F125" s="5" t="s">
        <v>160</v>
      </c>
      <c r="G125">
        <v>11</v>
      </c>
      <c r="H125">
        <v>63</v>
      </c>
      <c r="I125">
        <v>57</v>
      </c>
      <c r="J125">
        <v>56</v>
      </c>
      <c r="K125">
        <f t="shared" si="1"/>
        <v>60</v>
      </c>
    </row>
    <row r="126" spans="1:11">
      <c r="A126" t="s">
        <v>24</v>
      </c>
      <c r="B126" t="s">
        <v>69</v>
      </c>
      <c r="C126" t="s">
        <v>18</v>
      </c>
      <c r="D126" t="s">
        <v>14</v>
      </c>
      <c r="E126" t="s">
        <v>15</v>
      </c>
      <c r="F126" s="5" t="s">
        <v>161</v>
      </c>
      <c r="G126">
        <v>16</v>
      </c>
      <c r="H126">
        <v>83</v>
      </c>
      <c r="I126">
        <v>80</v>
      </c>
      <c r="J126">
        <v>73</v>
      </c>
      <c r="K126">
        <f t="shared" si="1"/>
        <v>81.5</v>
      </c>
    </row>
    <row r="127" spans="1:11">
      <c r="A127" t="s">
        <v>11</v>
      </c>
      <c r="B127" t="s">
        <v>12</v>
      </c>
      <c r="C127" t="s">
        <v>39</v>
      </c>
      <c r="D127" t="s">
        <v>14</v>
      </c>
      <c r="E127" t="s">
        <v>15</v>
      </c>
      <c r="F127">
        <v>4.6949477000000003E-2</v>
      </c>
      <c r="G127">
        <v>22</v>
      </c>
      <c r="H127">
        <v>87</v>
      </c>
      <c r="I127">
        <v>95</v>
      </c>
      <c r="J127">
        <v>86</v>
      </c>
      <c r="K127">
        <f t="shared" si="1"/>
        <v>91</v>
      </c>
    </row>
    <row r="128" spans="1:11">
      <c r="A128" t="s">
        <v>24</v>
      </c>
      <c r="B128" t="s">
        <v>12</v>
      </c>
      <c r="C128" t="s">
        <v>50</v>
      </c>
      <c r="D128" t="s">
        <v>14</v>
      </c>
      <c r="E128" t="s">
        <v>15</v>
      </c>
      <c r="F128" s="5" t="s">
        <v>162</v>
      </c>
      <c r="G128">
        <v>8</v>
      </c>
      <c r="H128">
        <v>72</v>
      </c>
      <c r="I128">
        <v>68</v>
      </c>
      <c r="J128">
        <v>67</v>
      </c>
      <c r="K128">
        <f t="shared" si="1"/>
        <v>70</v>
      </c>
    </row>
    <row r="129" spans="1:11">
      <c r="A129" t="s">
        <v>24</v>
      </c>
      <c r="B129" t="s">
        <v>38</v>
      </c>
      <c r="C129" t="s">
        <v>18</v>
      </c>
      <c r="D129" t="s">
        <v>14</v>
      </c>
      <c r="E129" t="s">
        <v>19</v>
      </c>
      <c r="F129" s="5" t="s">
        <v>163</v>
      </c>
      <c r="G129">
        <v>25</v>
      </c>
      <c r="H129">
        <v>65</v>
      </c>
      <c r="I129">
        <v>77</v>
      </c>
      <c r="J129">
        <v>74</v>
      </c>
      <c r="K129">
        <f t="shared" si="1"/>
        <v>71</v>
      </c>
    </row>
    <row r="130" spans="1:11">
      <c r="A130" t="s">
        <v>24</v>
      </c>
      <c r="B130" t="s">
        <v>38</v>
      </c>
      <c r="C130" t="s">
        <v>22</v>
      </c>
      <c r="D130" t="s">
        <v>14</v>
      </c>
      <c r="E130" t="s">
        <v>15</v>
      </c>
      <c r="F130" s="5" t="s">
        <v>164</v>
      </c>
      <c r="G130">
        <v>27</v>
      </c>
      <c r="H130">
        <v>82</v>
      </c>
      <c r="I130">
        <v>82</v>
      </c>
      <c r="J130">
        <v>74</v>
      </c>
      <c r="K130">
        <f t="shared" si="1"/>
        <v>82</v>
      </c>
    </row>
    <row r="131" spans="1:11">
      <c r="A131" t="s">
        <v>11</v>
      </c>
      <c r="B131" t="s">
        <v>25</v>
      </c>
      <c r="C131" t="s">
        <v>13</v>
      </c>
      <c r="D131" t="s">
        <v>14</v>
      </c>
      <c r="E131" t="s">
        <v>15</v>
      </c>
      <c r="F131">
        <v>9.914340202</v>
      </c>
      <c r="G131">
        <v>10</v>
      </c>
      <c r="H131">
        <v>51</v>
      </c>
      <c r="I131">
        <v>49</v>
      </c>
      <c r="J131">
        <v>51</v>
      </c>
      <c r="K131">
        <f t="shared" ref="K131:K194" si="2">(H131+I131)/2</f>
        <v>50</v>
      </c>
    </row>
    <row r="132" spans="1:11">
      <c r="A132" t="s">
        <v>24</v>
      </c>
      <c r="B132" t="s">
        <v>38</v>
      </c>
      <c r="C132" t="s">
        <v>22</v>
      </c>
      <c r="D132" t="s">
        <v>14</v>
      </c>
      <c r="E132" t="s">
        <v>15</v>
      </c>
      <c r="F132" s="5" t="s">
        <v>165</v>
      </c>
      <c r="G132">
        <v>8</v>
      </c>
      <c r="H132">
        <v>89</v>
      </c>
      <c r="I132">
        <v>84</v>
      </c>
      <c r="J132">
        <v>82</v>
      </c>
      <c r="K132">
        <f t="shared" si="2"/>
        <v>86.5</v>
      </c>
    </row>
    <row r="133" spans="1:11">
      <c r="A133" t="s">
        <v>24</v>
      </c>
      <c r="B133" t="s">
        <v>17</v>
      </c>
      <c r="C133" t="s">
        <v>50</v>
      </c>
      <c r="D133" t="s">
        <v>27</v>
      </c>
      <c r="E133" t="s">
        <v>19</v>
      </c>
      <c r="F133" s="5" t="s">
        <v>166</v>
      </c>
      <c r="G133">
        <v>11</v>
      </c>
      <c r="H133">
        <v>53</v>
      </c>
      <c r="I133">
        <v>37</v>
      </c>
      <c r="J133">
        <v>40</v>
      </c>
      <c r="K133">
        <f t="shared" si="2"/>
        <v>45</v>
      </c>
    </row>
    <row r="134" spans="1:11">
      <c r="A134" t="s">
        <v>24</v>
      </c>
      <c r="B134" t="s">
        <v>69</v>
      </c>
      <c r="C134" t="s">
        <v>18</v>
      </c>
      <c r="D134" t="s">
        <v>27</v>
      </c>
      <c r="E134" t="s">
        <v>19</v>
      </c>
      <c r="F134" s="5" t="s">
        <v>167</v>
      </c>
      <c r="G134">
        <v>8</v>
      </c>
      <c r="H134">
        <v>87</v>
      </c>
      <c r="I134">
        <v>74</v>
      </c>
      <c r="J134">
        <v>70</v>
      </c>
      <c r="K134">
        <f t="shared" si="2"/>
        <v>80.5</v>
      </c>
    </row>
    <row r="135" spans="1:11">
      <c r="A135" t="s">
        <v>11</v>
      </c>
      <c r="B135" t="s">
        <v>17</v>
      </c>
      <c r="C135" t="s">
        <v>18</v>
      </c>
      <c r="D135" t="s">
        <v>14</v>
      </c>
      <c r="E135" t="s">
        <v>19</v>
      </c>
      <c r="F135" s="5" t="s">
        <v>168</v>
      </c>
      <c r="G135">
        <v>19</v>
      </c>
      <c r="H135">
        <v>75</v>
      </c>
      <c r="I135">
        <v>81</v>
      </c>
      <c r="J135">
        <v>84</v>
      </c>
      <c r="K135">
        <f t="shared" si="2"/>
        <v>78</v>
      </c>
    </row>
    <row r="136" spans="1:11">
      <c r="A136" t="s">
        <v>24</v>
      </c>
      <c r="B136" t="s">
        <v>38</v>
      </c>
      <c r="C136" t="s">
        <v>13</v>
      </c>
      <c r="D136" t="s">
        <v>27</v>
      </c>
      <c r="E136" t="s">
        <v>19</v>
      </c>
      <c r="F136" s="5" t="s">
        <v>169</v>
      </c>
      <c r="G136">
        <v>2</v>
      </c>
      <c r="H136">
        <v>74</v>
      </c>
      <c r="I136">
        <v>79</v>
      </c>
      <c r="J136">
        <v>75</v>
      </c>
      <c r="K136">
        <f t="shared" si="2"/>
        <v>76.5</v>
      </c>
    </row>
    <row r="137" spans="1:11">
      <c r="A137" t="s">
        <v>24</v>
      </c>
      <c r="B137" t="s">
        <v>17</v>
      </c>
      <c r="C137" t="s">
        <v>13</v>
      </c>
      <c r="D137" t="s">
        <v>14</v>
      </c>
      <c r="E137" t="s">
        <v>15</v>
      </c>
      <c r="F137" s="5" t="s">
        <v>170</v>
      </c>
      <c r="G137">
        <v>22</v>
      </c>
      <c r="H137">
        <v>58</v>
      </c>
      <c r="I137">
        <v>55</v>
      </c>
      <c r="J137">
        <v>48</v>
      </c>
      <c r="K137">
        <f t="shared" si="2"/>
        <v>56.5</v>
      </c>
    </row>
    <row r="138" spans="1:11">
      <c r="A138" t="s">
        <v>24</v>
      </c>
      <c r="B138" t="s">
        <v>12</v>
      </c>
      <c r="C138" t="s">
        <v>50</v>
      </c>
      <c r="D138" t="s">
        <v>14</v>
      </c>
      <c r="E138" t="s">
        <v>19</v>
      </c>
      <c r="F138" s="5" t="s">
        <v>171</v>
      </c>
      <c r="G138">
        <v>0</v>
      </c>
      <c r="H138">
        <v>51</v>
      </c>
      <c r="I138">
        <v>54</v>
      </c>
      <c r="J138">
        <v>41</v>
      </c>
      <c r="K138">
        <f t="shared" si="2"/>
        <v>52.5</v>
      </c>
    </row>
    <row r="139" spans="1:11">
      <c r="A139" t="s">
        <v>24</v>
      </c>
      <c r="B139" t="s">
        <v>69</v>
      </c>
      <c r="C139" t="s">
        <v>39</v>
      </c>
      <c r="D139" t="s">
        <v>14</v>
      </c>
      <c r="E139" t="s">
        <v>15</v>
      </c>
      <c r="F139" s="5" t="s">
        <v>172</v>
      </c>
      <c r="G139">
        <v>10</v>
      </c>
      <c r="H139">
        <v>70</v>
      </c>
      <c r="I139">
        <v>55</v>
      </c>
      <c r="J139">
        <v>56</v>
      </c>
      <c r="K139">
        <f t="shared" si="2"/>
        <v>62.5</v>
      </c>
    </row>
    <row r="140" spans="1:11">
      <c r="A140" t="s">
        <v>11</v>
      </c>
      <c r="B140" t="s">
        <v>17</v>
      </c>
      <c r="C140" t="s">
        <v>26</v>
      </c>
      <c r="D140" t="s">
        <v>14</v>
      </c>
      <c r="E140" t="s">
        <v>15</v>
      </c>
      <c r="F140" s="5" t="s">
        <v>173</v>
      </c>
      <c r="G140">
        <v>3</v>
      </c>
      <c r="H140">
        <v>59</v>
      </c>
      <c r="I140">
        <v>66</v>
      </c>
      <c r="J140">
        <v>67</v>
      </c>
      <c r="K140">
        <f t="shared" si="2"/>
        <v>62.5</v>
      </c>
    </row>
    <row r="141" spans="1:11">
      <c r="A141" t="s">
        <v>24</v>
      </c>
      <c r="B141" t="s">
        <v>38</v>
      </c>
      <c r="C141" t="s">
        <v>18</v>
      </c>
      <c r="D141" t="s">
        <v>14</v>
      </c>
      <c r="E141" t="s">
        <v>19</v>
      </c>
      <c r="F141" s="5" t="s">
        <v>174</v>
      </c>
      <c r="G141">
        <v>0</v>
      </c>
      <c r="H141">
        <v>71</v>
      </c>
      <c r="I141">
        <v>61</v>
      </c>
      <c r="J141">
        <v>69</v>
      </c>
      <c r="K141">
        <f t="shared" si="2"/>
        <v>66</v>
      </c>
    </row>
    <row r="142" spans="1:11">
      <c r="A142" t="s">
        <v>11</v>
      </c>
      <c r="B142" t="s">
        <v>38</v>
      </c>
      <c r="C142" t="s">
        <v>50</v>
      </c>
      <c r="D142" t="s">
        <v>14</v>
      </c>
      <c r="E142" t="s">
        <v>15</v>
      </c>
      <c r="F142" s="5" t="s">
        <v>175</v>
      </c>
      <c r="G142">
        <v>24</v>
      </c>
      <c r="H142">
        <v>76</v>
      </c>
      <c r="I142">
        <v>72</v>
      </c>
      <c r="J142">
        <v>71</v>
      </c>
      <c r="K142">
        <f t="shared" si="2"/>
        <v>74</v>
      </c>
    </row>
    <row r="143" spans="1:11">
      <c r="A143" t="s">
        <v>11</v>
      </c>
      <c r="B143" t="s">
        <v>17</v>
      </c>
      <c r="C143" t="s">
        <v>18</v>
      </c>
      <c r="D143" t="s">
        <v>27</v>
      </c>
      <c r="E143" t="s">
        <v>15</v>
      </c>
      <c r="F143" s="5" t="s">
        <v>176</v>
      </c>
      <c r="G143">
        <v>9</v>
      </c>
      <c r="H143">
        <v>59</v>
      </c>
      <c r="I143">
        <v>62</v>
      </c>
      <c r="J143">
        <v>64</v>
      </c>
      <c r="K143">
        <f t="shared" si="2"/>
        <v>60.5</v>
      </c>
    </row>
    <row r="144" spans="1:11">
      <c r="A144" t="s">
        <v>11</v>
      </c>
      <c r="B144" t="s">
        <v>69</v>
      </c>
      <c r="C144" t="s">
        <v>18</v>
      </c>
      <c r="D144" t="s">
        <v>27</v>
      </c>
      <c r="E144" t="s">
        <v>19</v>
      </c>
      <c r="F144" s="5" t="s">
        <v>177</v>
      </c>
      <c r="G144">
        <v>18</v>
      </c>
      <c r="H144">
        <v>42</v>
      </c>
      <c r="I144">
        <v>55</v>
      </c>
      <c r="J144">
        <v>54</v>
      </c>
      <c r="K144">
        <f t="shared" si="2"/>
        <v>48.5</v>
      </c>
    </row>
    <row r="145" spans="1:11">
      <c r="A145" t="s">
        <v>24</v>
      </c>
      <c r="B145" t="s">
        <v>25</v>
      </c>
      <c r="C145" t="s">
        <v>39</v>
      </c>
      <c r="D145" t="s">
        <v>14</v>
      </c>
      <c r="E145" t="s">
        <v>15</v>
      </c>
      <c r="F145" s="5" t="s">
        <v>178</v>
      </c>
      <c r="G145">
        <v>20</v>
      </c>
      <c r="H145">
        <v>57</v>
      </c>
      <c r="I145">
        <v>43</v>
      </c>
      <c r="J145">
        <v>47</v>
      </c>
      <c r="K145">
        <f t="shared" si="2"/>
        <v>50</v>
      </c>
    </row>
    <row r="146" spans="1:11">
      <c r="A146" t="s">
        <v>24</v>
      </c>
      <c r="B146" t="s">
        <v>38</v>
      </c>
      <c r="C146" t="s">
        <v>18</v>
      </c>
      <c r="D146" t="s">
        <v>14</v>
      </c>
      <c r="E146" t="s">
        <v>15</v>
      </c>
      <c r="F146" s="5" t="s">
        <v>179</v>
      </c>
      <c r="G146">
        <v>25</v>
      </c>
      <c r="H146">
        <v>88</v>
      </c>
      <c r="I146">
        <v>73</v>
      </c>
      <c r="J146">
        <v>78</v>
      </c>
      <c r="K146">
        <f t="shared" si="2"/>
        <v>80.5</v>
      </c>
    </row>
    <row r="147" spans="1:11">
      <c r="A147" t="s">
        <v>11</v>
      </c>
      <c r="B147" t="s">
        <v>17</v>
      </c>
      <c r="C147" t="s">
        <v>18</v>
      </c>
      <c r="D147" t="s">
        <v>27</v>
      </c>
      <c r="E147" t="s">
        <v>15</v>
      </c>
      <c r="F147" s="5" t="s">
        <v>180</v>
      </c>
      <c r="G147">
        <v>19</v>
      </c>
      <c r="H147">
        <v>22</v>
      </c>
      <c r="I147">
        <v>39</v>
      </c>
      <c r="J147">
        <v>33</v>
      </c>
      <c r="K147">
        <f t="shared" si="2"/>
        <v>30.5</v>
      </c>
    </row>
    <row r="148" spans="1:11">
      <c r="A148" t="s">
        <v>24</v>
      </c>
      <c r="B148" t="s">
        <v>12</v>
      </c>
      <c r="C148" t="s">
        <v>50</v>
      </c>
      <c r="D148" t="s">
        <v>14</v>
      </c>
      <c r="E148" t="s">
        <v>15</v>
      </c>
      <c r="F148" s="5" t="s">
        <v>181</v>
      </c>
      <c r="G148">
        <v>3</v>
      </c>
      <c r="H148">
        <v>88</v>
      </c>
      <c r="I148">
        <v>84</v>
      </c>
      <c r="J148">
        <v>75</v>
      </c>
      <c r="K148">
        <f t="shared" si="2"/>
        <v>86</v>
      </c>
    </row>
    <row r="149" spans="1:11">
      <c r="A149" t="s">
        <v>24</v>
      </c>
      <c r="B149" t="s">
        <v>17</v>
      </c>
      <c r="C149" t="s">
        <v>26</v>
      </c>
      <c r="D149" t="s">
        <v>27</v>
      </c>
      <c r="E149" t="s">
        <v>15</v>
      </c>
      <c r="F149" s="5" t="s">
        <v>182</v>
      </c>
      <c r="G149">
        <v>14</v>
      </c>
      <c r="H149">
        <v>73</v>
      </c>
      <c r="I149">
        <v>68</v>
      </c>
      <c r="J149">
        <v>66</v>
      </c>
      <c r="K149">
        <f t="shared" si="2"/>
        <v>70.5</v>
      </c>
    </row>
    <row r="150" spans="1:11">
      <c r="A150" t="s">
        <v>11</v>
      </c>
      <c r="B150" t="s">
        <v>38</v>
      </c>
      <c r="C150" t="s">
        <v>13</v>
      </c>
      <c r="D150" t="s">
        <v>14</v>
      </c>
      <c r="E150" t="s">
        <v>19</v>
      </c>
      <c r="F150" s="5" t="s">
        <v>183</v>
      </c>
      <c r="G150">
        <v>24</v>
      </c>
      <c r="H150">
        <v>68</v>
      </c>
      <c r="I150">
        <v>75</v>
      </c>
      <c r="J150">
        <v>81</v>
      </c>
      <c r="K150">
        <f t="shared" si="2"/>
        <v>71.5</v>
      </c>
    </row>
    <row r="151" spans="1:11">
      <c r="A151" t="s">
        <v>24</v>
      </c>
      <c r="B151" t="s">
        <v>69</v>
      </c>
      <c r="C151" t="s">
        <v>26</v>
      </c>
      <c r="D151" t="s">
        <v>27</v>
      </c>
      <c r="E151" t="s">
        <v>19</v>
      </c>
      <c r="F151" s="5" t="s">
        <v>184</v>
      </c>
      <c r="G151">
        <v>26</v>
      </c>
      <c r="H151">
        <v>100</v>
      </c>
      <c r="I151">
        <v>100</v>
      </c>
      <c r="J151">
        <v>93</v>
      </c>
      <c r="K151">
        <f t="shared" si="2"/>
        <v>100</v>
      </c>
    </row>
    <row r="152" spans="1:11">
      <c r="A152" t="s">
        <v>24</v>
      </c>
      <c r="B152" t="s">
        <v>25</v>
      </c>
      <c r="C152" t="s">
        <v>50</v>
      </c>
      <c r="D152" t="s">
        <v>14</v>
      </c>
      <c r="E152" t="s">
        <v>19</v>
      </c>
      <c r="F152" s="5" t="s">
        <v>185</v>
      </c>
      <c r="G152">
        <v>8</v>
      </c>
      <c r="H152">
        <v>62</v>
      </c>
      <c r="I152">
        <v>67</v>
      </c>
      <c r="J152">
        <v>69</v>
      </c>
      <c r="K152">
        <f t="shared" si="2"/>
        <v>64.5</v>
      </c>
    </row>
    <row r="153" spans="1:11">
      <c r="A153" t="s">
        <v>24</v>
      </c>
      <c r="B153" t="s">
        <v>25</v>
      </c>
      <c r="C153" t="s">
        <v>13</v>
      </c>
      <c r="D153" t="s">
        <v>14</v>
      </c>
      <c r="E153" t="s">
        <v>15</v>
      </c>
      <c r="F153" s="5" t="s">
        <v>186</v>
      </c>
      <c r="G153">
        <v>29</v>
      </c>
      <c r="H153">
        <v>77</v>
      </c>
      <c r="I153">
        <v>67</v>
      </c>
      <c r="J153">
        <v>68</v>
      </c>
      <c r="K153">
        <f t="shared" si="2"/>
        <v>72</v>
      </c>
    </row>
    <row r="154" spans="1:11">
      <c r="A154" t="s">
        <v>11</v>
      </c>
      <c r="B154" t="s">
        <v>12</v>
      </c>
      <c r="C154" t="s">
        <v>26</v>
      </c>
      <c r="D154" t="s">
        <v>14</v>
      </c>
      <c r="E154" t="s">
        <v>19</v>
      </c>
      <c r="F154" s="5" t="s">
        <v>187</v>
      </c>
      <c r="G154">
        <v>19</v>
      </c>
      <c r="H154">
        <v>59</v>
      </c>
      <c r="I154">
        <v>70</v>
      </c>
      <c r="J154">
        <v>66</v>
      </c>
      <c r="K154">
        <f t="shared" si="2"/>
        <v>64.5</v>
      </c>
    </row>
    <row r="155" spans="1:11">
      <c r="A155" t="s">
        <v>24</v>
      </c>
      <c r="B155" t="s">
        <v>38</v>
      </c>
      <c r="C155" t="s">
        <v>13</v>
      </c>
      <c r="D155" t="s">
        <v>14</v>
      </c>
      <c r="E155" t="s">
        <v>15</v>
      </c>
      <c r="F155" s="5" t="s">
        <v>188</v>
      </c>
      <c r="G155">
        <v>19</v>
      </c>
      <c r="H155">
        <v>54</v>
      </c>
      <c r="I155">
        <v>49</v>
      </c>
      <c r="J155">
        <v>47</v>
      </c>
      <c r="K155">
        <f t="shared" si="2"/>
        <v>51.5</v>
      </c>
    </row>
    <row r="156" spans="1:11">
      <c r="A156" t="s">
        <v>24</v>
      </c>
      <c r="B156" t="s">
        <v>38</v>
      </c>
      <c r="C156" t="s">
        <v>50</v>
      </c>
      <c r="D156" t="s">
        <v>14</v>
      </c>
      <c r="E156" t="s">
        <v>15</v>
      </c>
      <c r="F156" s="5" t="s">
        <v>189</v>
      </c>
      <c r="G156">
        <v>29</v>
      </c>
      <c r="H156">
        <v>62</v>
      </c>
      <c r="I156">
        <v>67</v>
      </c>
      <c r="J156">
        <v>61</v>
      </c>
      <c r="K156">
        <f t="shared" si="2"/>
        <v>64.5</v>
      </c>
    </row>
    <row r="157" spans="1:11">
      <c r="A157" t="s">
        <v>11</v>
      </c>
      <c r="B157" t="s">
        <v>17</v>
      </c>
      <c r="C157" t="s">
        <v>18</v>
      </c>
      <c r="D157" t="s">
        <v>14</v>
      </c>
      <c r="E157" t="s">
        <v>19</v>
      </c>
      <c r="F157" s="5" t="s">
        <v>190</v>
      </c>
      <c r="G157">
        <v>7</v>
      </c>
      <c r="H157">
        <v>70</v>
      </c>
      <c r="I157">
        <v>89</v>
      </c>
      <c r="J157">
        <v>88</v>
      </c>
      <c r="K157">
        <f t="shared" si="2"/>
        <v>79.5</v>
      </c>
    </row>
    <row r="158" spans="1:11">
      <c r="A158" t="s">
        <v>11</v>
      </c>
      <c r="B158" t="s">
        <v>69</v>
      </c>
      <c r="C158" t="s">
        <v>39</v>
      </c>
      <c r="D158" t="s">
        <v>27</v>
      </c>
      <c r="E158" t="s">
        <v>19</v>
      </c>
      <c r="F158" s="5" t="s">
        <v>191</v>
      </c>
      <c r="G158">
        <v>17</v>
      </c>
      <c r="H158">
        <v>66</v>
      </c>
      <c r="I158">
        <v>74</v>
      </c>
      <c r="J158">
        <v>78</v>
      </c>
      <c r="K158">
        <f t="shared" si="2"/>
        <v>70</v>
      </c>
    </row>
    <row r="159" spans="1:11">
      <c r="A159" t="s">
        <v>24</v>
      </c>
      <c r="B159" t="s">
        <v>12</v>
      </c>
      <c r="C159" t="s">
        <v>18</v>
      </c>
      <c r="D159" t="s">
        <v>27</v>
      </c>
      <c r="E159" t="s">
        <v>15</v>
      </c>
      <c r="F159">
        <v>9.0750752049999992</v>
      </c>
      <c r="G159">
        <v>6</v>
      </c>
      <c r="H159">
        <v>60</v>
      </c>
      <c r="I159">
        <v>60</v>
      </c>
      <c r="J159">
        <v>60</v>
      </c>
      <c r="K159">
        <f t="shared" si="2"/>
        <v>60</v>
      </c>
    </row>
    <row r="160" spans="1:11">
      <c r="A160" t="s">
        <v>11</v>
      </c>
      <c r="B160" t="s">
        <v>12</v>
      </c>
      <c r="C160" t="s">
        <v>26</v>
      </c>
      <c r="D160" t="s">
        <v>14</v>
      </c>
      <c r="E160" t="s">
        <v>19</v>
      </c>
      <c r="F160" s="5" t="s">
        <v>192</v>
      </c>
      <c r="G160">
        <v>8</v>
      </c>
      <c r="H160">
        <v>61</v>
      </c>
      <c r="I160">
        <v>86</v>
      </c>
      <c r="J160">
        <v>87</v>
      </c>
      <c r="K160">
        <f t="shared" si="2"/>
        <v>73.5</v>
      </c>
    </row>
    <row r="161" spans="1:11">
      <c r="A161" t="s">
        <v>24</v>
      </c>
      <c r="B161" t="s">
        <v>38</v>
      </c>
      <c r="C161" t="s">
        <v>26</v>
      </c>
      <c r="D161" t="s">
        <v>27</v>
      </c>
      <c r="E161" t="s">
        <v>15</v>
      </c>
      <c r="F161" s="5" t="s">
        <v>193</v>
      </c>
      <c r="G161">
        <v>10</v>
      </c>
      <c r="H161">
        <v>66</v>
      </c>
      <c r="I161">
        <v>62</v>
      </c>
      <c r="J161">
        <v>64</v>
      </c>
      <c r="K161">
        <f t="shared" si="2"/>
        <v>64</v>
      </c>
    </row>
    <row r="162" spans="1:11">
      <c r="A162" t="s">
        <v>24</v>
      </c>
      <c r="B162" t="s">
        <v>12</v>
      </c>
      <c r="C162" t="s">
        <v>26</v>
      </c>
      <c r="D162" t="s">
        <v>27</v>
      </c>
      <c r="E162" t="s">
        <v>19</v>
      </c>
      <c r="F162" s="5" t="s">
        <v>194</v>
      </c>
      <c r="G162">
        <v>11</v>
      </c>
      <c r="H162">
        <v>82</v>
      </c>
      <c r="I162">
        <v>78</v>
      </c>
      <c r="J162">
        <v>74</v>
      </c>
      <c r="K162">
        <f t="shared" si="2"/>
        <v>80</v>
      </c>
    </row>
    <row r="163" spans="1:11">
      <c r="A163" t="s">
        <v>11</v>
      </c>
      <c r="B163" t="s">
        <v>69</v>
      </c>
      <c r="C163" t="s">
        <v>18</v>
      </c>
      <c r="D163" t="s">
        <v>27</v>
      </c>
      <c r="E163" t="s">
        <v>19</v>
      </c>
      <c r="F163" s="5" t="s">
        <v>195</v>
      </c>
      <c r="G163">
        <v>22</v>
      </c>
      <c r="H163">
        <v>75</v>
      </c>
      <c r="I163">
        <v>88</v>
      </c>
      <c r="J163">
        <v>85</v>
      </c>
      <c r="K163">
        <f t="shared" si="2"/>
        <v>81.5</v>
      </c>
    </row>
    <row r="164" spans="1:11">
      <c r="A164" t="s">
        <v>24</v>
      </c>
      <c r="B164" t="s">
        <v>12</v>
      </c>
      <c r="C164" t="s">
        <v>22</v>
      </c>
      <c r="D164" t="s">
        <v>27</v>
      </c>
      <c r="E164" t="s">
        <v>15</v>
      </c>
      <c r="F164" s="5" t="s">
        <v>196</v>
      </c>
      <c r="G164">
        <v>0</v>
      </c>
      <c r="H164">
        <v>49</v>
      </c>
      <c r="I164">
        <v>53</v>
      </c>
      <c r="J164">
        <v>52</v>
      </c>
      <c r="K164">
        <f t="shared" si="2"/>
        <v>51</v>
      </c>
    </row>
    <row r="165" spans="1:11">
      <c r="A165" t="s">
        <v>24</v>
      </c>
      <c r="B165" t="s">
        <v>17</v>
      </c>
      <c r="C165" t="s">
        <v>39</v>
      </c>
      <c r="D165" t="s">
        <v>14</v>
      </c>
      <c r="E165" t="s">
        <v>15</v>
      </c>
      <c r="F165" s="5" t="s">
        <v>197</v>
      </c>
      <c r="G165">
        <v>2</v>
      </c>
      <c r="H165">
        <v>52</v>
      </c>
      <c r="I165">
        <v>53</v>
      </c>
      <c r="J165">
        <v>49</v>
      </c>
      <c r="K165">
        <f t="shared" si="2"/>
        <v>52.5</v>
      </c>
    </row>
    <row r="166" spans="1:11">
      <c r="A166" t="s">
        <v>11</v>
      </c>
      <c r="B166" t="s">
        <v>69</v>
      </c>
      <c r="C166" t="s">
        <v>22</v>
      </c>
      <c r="D166" t="s">
        <v>14</v>
      </c>
      <c r="E166" t="s">
        <v>15</v>
      </c>
      <c r="F166" s="5" t="s">
        <v>198</v>
      </c>
      <c r="G166">
        <v>4</v>
      </c>
      <c r="H166">
        <v>81</v>
      </c>
      <c r="I166">
        <v>92</v>
      </c>
      <c r="J166">
        <v>91</v>
      </c>
      <c r="K166">
        <f t="shared" si="2"/>
        <v>86.5</v>
      </c>
    </row>
    <row r="167" spans="1:11">
      <c r="A167" t="s">
        <v>11</v>
      </c>
      <c r="B167" t="s">
        <v>17</v>
      </c>
      <c r="C167" t="s">
        <v>13</v>
      </c>
      <c r="D167" t="s">
        <v>14</v>
      </c>
      <c r="E167" t="s">
        <v>19</v>
      </c>
      <c r="F167">
        <v>0.51484819500000001</v>
      </c>
      <c r="G167">
        <v>15</v>
      </c>
      <c r="H167">
        <v>96</v>
      </c>
      <c r="I167">
        <v>100</v>
      </c>
      <c r="J167">
        <v>100</v>
      </c>
      <c r="K167">
        <f t="shared" si="2"/>
        <v>98</v>
      </c>
    </row>
    <row r="168" spans="1:11">
      <c r="A168" t="s">
        <v>24</v>
      </c>
      <c r="B168" t="s">
        <v>17</v>
      </c>
      <c r="C168" t="s">
        <v>39</v>
      </c>
      <c r="D168" t="s">
        <v>27</v>
      </c>
      <c r="E168" t="s">
        <v>19</v>
      </c>
      <c r="F168" s="5" t="s">
        <v>199</v>
      </c>
      <c r="G168">
        <v>24</v>
      </c>
      <c r="H168">
        <v>53</v>
      </c>
      <c r="I168">
        <v>51</v>
      </c>
      <c r="J168">
        <v>51</v>
      </c>
      <c r="K168">
        <f t="shared" si="2"/>
        <v>52</v>
      </c>
    </row>
    <row r="169" spans="1:11">
      <c r="A169" t="s">
        <v>11</v>
      </c>
      <c r="B169" t="s">
        <v>12</v>
      </c>
      <c r="C169" t="s">
        <v>22</v>
      </c>
      <c r="D169" t="s">
        <v>27</v>
      </c>
      <c r="E169" t="s">
        <v>19</v>
      </c>
      <c r="F169" s="5" t="s">
        <v>200</v>
      </c>
      <c r="G169">
        <v>22</v>
      </c>
      <c r="H169">
        <v>58</v>
      </c>
      <c r="I169">
        <v>76</v>
      </c>
      <c r="J169">
        <v>78</v>
      </c>
      <c r="K169">
        <f t="shared" si="2"/>
        <v>67</v>
      </c>
    </row>
    <row r="170" spans="1:11">
      <c r="A170" t="s">
        <v>11</v>
      </c>
      <c r="B170" t="s">
        <v>12</v>
      </c>
      <c r="C170" t="s">
        <v>39</v>
      </c>
      <c r="D170" t="s">
        <v>14</v>
      </c>
      <c r="E170" t="s">
        <v>19</v>
      </c>
      <c r="F170" s="5" t="s">
        <v>201</v>
      </c>
      <c r="G170">
        <v>26</v>
      </c>
      <c r="H170">
        <v>68</v>
      </c>
      <c r="I170">
        <v>83</v>
      </c>
      <c r="J170">
        <v>78</v>
      </c>
      <c r="K170">
        <f t="shared" si="2"/>
        <v>75.5</v>
      </c>
    </row>
    <row r="171" spans="1:11">
      <c r="A171" t="s">
        <v>11</v>
      </c>
      <c r="B171" t="s">
        <v>17</v>
      </c>
      <c r="C171" t="s">
        <v>18</v>
      </c>
      <c r="D171" t="s">
        <v>27</v>
      </c>
      <c r="E171" t="s">
        <v>19</v>
      </c>
      <c r="F171" s="5" t="s">
        <v>202</v>
      </c>
      <c r="G171">
        <v>9</v>
      </c>
      <c r="H171">
        <v>67</v>
      </c>
      <c r="I171">
        <v>75</v>
      </c>
      <c r="J171">
        <v>70</v>
      </c>
      <c r="K171">
        <f t="shared" si="2"/>
        <v>71</v>
      </c>
    </row>
    <row r="172" spans="1:11">
      <c r="A172" t="s">
        <v>24</v>
      </c>
      <c r="B172" t="s">
        <v>25</v>
      </c>
      <c r="C172" t="s">
        <v>39</v>
      </c>
      <c r="D172" t="s">
        <v>14</v>
      </c>
      <c r="E172" t="s">
        <v>19</v>
      </c>
      <c r="F172" s="5" t="s">
        <v>203</v>
      </c>
      <c r="G172">
        <v>13</v>
      </c>
      <c r="H172">
        <v>72</v>
      </c>
      <c r="I172">
        <v>73</v>
      </c>
      <c r="J172">
        <v>74</v>
      </c>
      <c r="K172">
        <f t="shared" si="2"/>
        <v>72.5</v>
      </c>
    </row>
    <row r="173" spans="1:11">
      <c r="A173" t="s">
        <v>24</v>
      </c>
      <c r="B173" t="s">
        <v>69</v>
      </c>
      <c r="C173" t="s">
        <v>50</v>
      </c>
      <c r="D173" t="s">
        <v>14</v>
      </c>
      <c r="E173" t="s">
        <v>15</v>
      </c>
      <c r="F173" s="5" t="s">
        <v>204</v>
      </c>
      <c r="G173">
        <v>11</v>
      </c>
      <c r="H173">
        <v>94</v>
      </c>
      <c r="I173">
        <v>88</v>
      </c>
      <c r="J173">
        <v>78</v>
      </c>
      <c r="K173">
        <f t="shared" si="2"/>
        <v>91</v>
      </c>
    </row>
    <row r="174" spans="1:11">
      <c r="A174" t="s">
        <v>11</v>
      </c>
      <c r="B174" t="s">
        <v>38</v>
      </c>
      <c r="C174" t="s">
        <v>18</v>
      </c>
      <c r="D174" t="s">
        <v>14</v>
      </c>
      <c r="E174" t="s">
        <v>15</v>
      </c>
      <c r="F174" s="5" t="s">
        <v>205</v>
      </c>
      <c r="G174">
        <v>8</v>
      </c>
      <c r="H174">
        <v>79</v>
      </c>
      <c r="I174">
        <v>86</v>
      </c>
      <c r="J174">
        <v>81</v>
      </c>
      <c r="K174">
        <f t="shared" si="2"/>
        <v>82.5</v>
      </c>
    </row>
    <row r="175" spans="1:11">
      <c r="A175" t="s">
        <v>11</v>
      </c>
      <c r="B175" t="s">
        <v>17</v>
      </c>
      <c r="C175" t="s">
        <v>26</v>
      </c>
      <c r="D175" t="s">
        <v>14</v>
      </c>
      <c r="E175" t="s">
        <v>15</v>
      </c>
      <c r="F175" s="5" t="s">
        <v>206</v>
      </c>
      <c r="G175">
        <v>16</v>
      </c>
      <c r="H175">
        <v>63</v>
      </c>
      <c r="I175">
        <v>67</v>
      </c>
      <c r="J175">
        <v>70</v>
      </c>
      <c r="K175">
        <f t="shared" si="2"/>
        <v>65</v>
      </c>
    </row>
    <row r="176" spans="1:11">
      <c r="A176" t="s">
        <v>11</v>
      </c>
      <c r="B176" t="s">
        <v>17</v>
      </c>
      <c r="C176" t="s">
        <v>13</v>
      </c>
      <c r="D176" t="s">
        <v>27</v>
      </c>
      <c r="E176" t="s">
        <v>19</v>
      </c>
      <c r="F176">
        <v>8.3157212410000003</v>
      </c>
      <c r="G176">
        <v>1</v>
      </c>
      <c r="H176">
        <v>43</v>
      </c>
      <c r="I176">
        <v>51</v>
      </c>
      <c r="J176">
        <v>54</v>
      </c>
      <c r="K176">
        <f t="shared" si="2"/>
        <v>47</v>
      </c>
    </row>
    <row r="177" spans="1:11">
      <c r="A177" t="s">
        <v>11</v>
      </c>
      <c r="B177" t="s">
        <v>17</v>
      </c>
      <c r="C177" t="s">
        <v>22</v>
      </c>
      <c r="D177" t="s">
        <v>14</v>
      </c>
      <c r="E177" t="s">
        <v>19</v>
      </c>
      <c r="F177" s="5" t="s">
        <v>207</v>
      </c>
      <c r="G177">
        <v>6</v>
      </c>
      <c r="H177">
        <v>81</v>
      </c>
      <c r="I177">
        <v>91</v>
      </c>
      <c r="J177">
        <v>87</v>
      </c>
      <c r="K177">
        <f t="shared" si="2"/>
        <v>86</v>
      </c>
    </row>
    <row r="178" spans="1:11">
      <c r="A178" t="s">
        <v>11</v>
      </c>
      <c r="B178" t="s">
        <v>12</v>
      </c>
      <c r="C178" t="s">
        <v>39</v>
      </c>
      <c r="D178" t="s">
        <v>27</v>
      </c>
      <c r="E178" t="s">
        <v>19</v>
      </c>
      <c r="F178" s="5" t="s">
        <v>208</v>
      </c>
      <c r="G178">
        <v>4</v>
      </c>
      <c r="H178">
        <v>46</v>
      </c>
      <c r="I178">
        <v>54</v>
      </c>
      <c r="J178">
        <v>58</v>
      </c>
      <c r="K178">
        <f t="shared" si="2"/>
        <v>50</v>
      </c>
    </row>
    <row r="179" spans="1:11">
      <c r="A179" t="s">
        <v>11</v>
      </c>
      <c r="B179" t="s">
        <v>17</v>
      </c>
      <c r="C179" t="s">
        <v>26</v>
      </c>
      <c r="D179" t="s">
        <v>14</v>
      </c>
      <c r="E179" t="s">
        <v>19</v>
      </c>
      <c r="F179" s="5" t="s">
        <v>209</v>
      </c>
      <c r="G179">
        <v>18</v>
      </c>
      <c r="H179">
        <v>71</v>
      </c>
      <c r="I179">
        <v>77</v>
      </c>
      <c r="J179">
        <v>77</v>
      </c>
      <c r="K179">
        <f t="shared" si="2"/>
        <v>74</v>
      </c>
    </row>
    <row r="180" spans="1:11">
      <c r="A180" t="s">
        <v>11</v>
      </c>
      <c r="B180" t="s">
        <v>12</v>
      </c>
      <c r="C180" t="s">
        <v>22</v>
      </c>
      <c r="D180" t="s">
        <v>27</v>
      </c>
      <c r="E180" t="s">
        <v>19</v>
      </c>
      <c r="F180" s="5" t="s">
        <v>210</v>
      </c>
      <c r="G180">
        <v>28</v>
      </c>
      <c r="H180">
        <v>52</v>
      </c>
      <c r="I180">
        <v>70</v>
      </c>
      <c r="J180">
        <v>62</v>
      </c>
      <c r="K180">
        <f t="shared" si="2"/>
        <v>61</v>
      </c>
    </row>
    <row r="181" spans="1:11">
      <c r="A181" t="s">
        <v>11</v>
      </c>
      <c r="B181" t="s">
        <v>38</v>
      </c>
      <c r="C181" t="s">
        <v>50</v>
      </c>
      <c r="D181" t="s">
        <v>14</v>
      </c>
      <c r="E181" t="s">
        <v>19</v>
      </c>
      <c r="F181">
        <v>8.6479272040000001</v>
      </c>
      <c r="G181">
        <v>20</v>
      </c>
      <c r="H181">
        <v>97</v>
      </c>
      <c r="I181">
        <v>100</v>
      </c>
      <c r="J181">
        <v>100</v>
      </c>
      <c r="K181">
        <f t="shared" si="2"/>
        <v>98.5</v>
      </c>
    </row>
    <row r="182" spans="1:11">
      <c r="A182" t="s">
        <v>24</v>
      </c>
      <c r="B182" t="s">
        <v>17</v>
      </c>
      <c r="C182" t="s">
        <v>22</v>
      </c>
      <c r="D182" t="s">
        <v>27</v>
      </c>
      <c r="E182" t="s">
        <v>19</v>
      </c>
      <c r="F182" s="5" t="s">
        <v>211</v>
      </c>
      <c r="G182">
        <v>18</v>
      </c>
      <c r="H182">
        <v>62</v>
      </c>
      <c r="I182">
        <v>68</v>
      </c>
      <c r="J182">
        <v>75</v>
      </c>
      <c r="K182">
        <f t="shared" si="2"/>
        <v>65</v>
      </c>
    </row>
    <row r="183" spans="1:11">
      <c r="A183" t="s">
        <v>11</v>
      </c>
      <c r="B183" t="s">
        <v>17</v>
      </c>
      <c r="C183" t="s">
        <v>18</v>
      </c>
      <c r="D183" t="s">
        <v>27</v>
      </c>
      <c r="E183" t="s">
        <v>15</v>
      </c>
      <c r="F183" s="5" t="s">
        <v>212</v>
      </c>
      <c r="G183">
        <v>17</v>
      </c>
      <c r="H183">
        <v>46</v>
      </c>
      <c r="I183">
        <v>64</v>
      </c>
      <c r="J183">
        <v>66</v>
      </c>
      <c r="K183">
        <f t="shared" si="2"/>
        <v>55</v>
      </c>
    </row>
    <row r="184" spans="1:11">
      <c r="A184" t="s">
        <v>11</v>
      </c>
      <c r="B184" t="s">
        <v>69</v>
      </c>
      <c r="C184" t="s">
        <v>39</v>
      </c>
      <c r="D184" t="s">
        <v>14</v>
      </c>
      <c r="E184" t="s">
        <v>15</v>
      </c>
      <c r="F184" s="5" t="s">
        <v>213</v>
      </c>
      <c r="G184">
        <v>16</v>
      </c>
      <c r="H184">
        <v>50</v>
      </c>
      <c r="I184">
        <v>50</v>
      </c>
      <c r="J184">
        <v>47</v>
      </c>
      <c r="K184">
        <f t="shared" si="2"/>
        <v>50</v>
      </c>
    </row>
    <row r="185" spans="1:11">
      <c r="A185" t="s">
        <v>11</v>
      </c>
      <c r="B185" t="s">
        <v>38</v>
      </c>
      <c r="C185" t="s">
        <v>26</v>
      </c>
      <c r="D185" t="s">
        <v>14</v>
      </c>
      <c r="E185" t="s">
        <v>15</v>
      </c>
      <c r="F185" s="5" t="s">
        <v>214</v>
      </c>
      <c r="G185">
        <v>16</v>
      </c>
      <c r="H185">
        <v>65</v>
      </c>
      <c r="I185">
        <v>69</v>
      </c>
      <c r="J185">
        <v>70</v>
      </c>
      <c r="K185">
        <f t="shared" si="2"/>
        <v>67</v>
      </c>
    </row>
    <row r="186" spans="1:11">
      <c r="A186" t="s">
        <v>24</v>
      </c>
      <c r="B186" t="s">
        <v>17</v>
      </c>
      <c r="C186" t="s">
        <v>50</v>
      </c>
      <c r="D186" t="s">
        <v>27</v>
      </c>
      <c r="E186" t="s">
        <v>19</v>
      </c>
      <c r="F186" s="5" t="s">
        <v>215</v>
      </c>
      <c r="G186">
        <v>12</v>
      </c>
      <c r="H186">
        <v>45</v>
      </c>
      <c r="I186">
        <v>52</v>
      </c>
      <c r="J186">
        <v>49</v>
      </c>
      <c r="K186">
        <f t="shared" si="2"/>
        <v>48.5</v>
      </c>
    </row>
    <row r="187" spans="1:11">
      <c r="A187" t="s">
        <v>24</v>
      </c>
      <c r="B187" t="s">
        <v>17</v>
      </c>
      <c r="C187" t="s">
        <v>26</v>
      </c>
      <c r="D187" t="s">
        <v>27</v>
      </c>
      <c r="E187" t="s">
        <v>19</v>
      </c>
      <c r="F187" s="5" t="s">
        <v>216</v>
      </c>
      <c r="G187">
        <v>29</v>
      </c>
      <c r="H187">
        <v>65</v>
      </c>
      <c r="I187">
        <v>67</v>
      </c>
      <c r="J187">
        <v>65</v>
      </c>
      <c r="K187">
        <f t="shared" si="2"/>
        <v>66</v>
      </c>
    </row>
    <row r="188" spans="1:11">
      <c r="A188" t="s">
        <v>24</v>
      </c>
      <c r="B188" t="s">
        <v>69</v>
      </c>
      <c r="C188" t="s">
        <v>39</v>
      </c>
      <c r="D188" t="s">
        <v>14</v>
      </c>
      <c r="E188" t="s">
        <v>15</v>
      </c>
      <c r="F188">
        <v>8.3489656780000008</v>
      </c>
      <c r="G188">
        <v>8</v>
      </c>
      <c r="H188">
        <v>80</v>
      </c>
      <c r="I188">
        <v>76</v>
      </c>
      <c r="J188">
        <v>65</v>
      </c>
      <c r="K188">
        <f t="shared" si="2"/>
        <v>78</v>
      </c>
    </row>
    <row r="189" spans="1:11">
      <c r="A189" t="s">
        <v>24</v>
      </c>
      <c r="B189" t="s">
        <v>38</v>
      </c>
      <c r="C189" t="s">
        <v>50</v>
      </c>
      <c r="D189" t="s">
        <v>14</v>
      </c>
      <c r="E189" t="s">
        <v>19</v>
      </c>
      <c r="F189" s="5" t="s">
        <v>217</v>
      </c>
      <c r="G189">
        <v>15</v>
      </c>
      <c r="H189">
        <v>62</v>
      </c>
      <c r="I189">
        <v>66</v>
      </c>
      <c r="J189">
        <v>68</v>
      </c>
      <c r="K189">
        <f t="shared" si="2"/>
        <v>64</v>
      </c>
    </row>
    <row r="190" spans="1:11">
      <c r="A190" t="s">
        <v>24</v>
      </c>
      <c r="B190" t="s">
        <v>12</v>
      </c>
      <c r="C190" t="s">
        <v>50</v>
      </c>
      <c r="D190" t="s">
        <v>27</v>
      </c>
      <c r="E190" t="s">
        <v>15</v>
      </c>
      <c r="F190" s="5" t="s">
        <v>218</v>
      </c>
      <c r="G190">
        <v>15</v>
      </c>
      <c r="H190">
        <v>48</v>
      </c>
      <c r="I190">
        <v>52</v>
      </c>
      <c r="J190">
        <v>45</v>
      </c>
      <c r="K190">
        <f t="shared" si="2"/>
        <v>50</v>
      </c>
    </row>
    <row r="191" spans="1:11">
      <c r="A191" t="s">
        <v>11</v>
      </c>
      <c r="B191" t="s">
        <v>17</v>
      </c>
      <c r="C191" t="s">
        <v>13</v>
      </c>
      <c r="D191" t="s">
        <v>14</v>
      </c>
      <c r="E191" t="s">
        <v>15</v>
      </c>
      <c r="F191" s="5" t="s">
        <v>219</v>
      </c>
      <c r="G191">
        <v>15</v>
      </c>
      <c r="H191">
        <v>77</v>
      </c>
      <c r="I191">
        <v>88</v>
      </c>
      <c r="J191">
        <v>87</v>
      </c>
      <c r="K191">
        <f t="shared" si="2"/>
        <v>82.5</v>
      </c>
    </row>
    <row r="192" spans="1:11">
      <c r="A192" t="s">
        <v>11</v>
      </c>
      <c r="B192" t="s">
        <v>69</v>
      </c>
      <c r="C192" t="s">
        <v>26</v>
      </c>
      <c r="D192" t="s">
        <v>14</v>
      </c>
      <c r="E192" t="s">
        <v>15</v>
      </c>
      <c r="F192">
        <v>9.6188321620000004</v>
      </c>
      <c r="G192">
        <v>15</v>
      </c>
      <c r="H192">
        <v>66</v>
      </c>
      <c r="I192">
        <v>65</v>
      </c>
      <c r="J192">
        <v>69</v>
      </c>
      <c r="K192">
        <f t="shared" si="2"/>
        <v>65.5</v>
      </c>
    </row>
    <row r="193" spans="1:11">
      <c r="A193" t="s">
        <v>24</v>
      </c>
      <c r="B193" t="s">
        <v>38</v>
      </c>
      <c r="C193" t="s">
        <v>18</v>
      </c>
      <c r="D193" t="s">
        <v>14</v>
      </c>
      <c r="E193" t="s">
        <v>19</v>
      </c>
      <c r="F193" s="5" t="s">
        <v>220</v>
      </c>
      <c r="G193">
        <v>13</v>
      </c>
      <c r="H193">
        <v>76</v>
      </c>
      <c r="I193">
        <v>83</v>
      </c>
      <c r="J193">
        <v>79</v>
      </c>
      <c r="K193">
        <f t="shared" si="2"/>
        <v>79.5</v>
      </c>
    </row>
    <row r="194" spans="1:11">
      <c r="A194" t="s">
        <v>11</v>
      </c>
      <c r="B194" t="s">
        <v>12</v>
      </c>
      <c r="C194" t="s">
        <v>50</v>
      </c>
      <c r="D194" t="s">
        <v>14</v>
      </c>
      <c r="E194" t="s">
        <v>15</v>
      </c>
      <c r="F194" s="5" t="s">
        <v>221</v>
      </c>
      <c r="G194">
        <v>24</v>
      </c>
      <c r="H194">
        <v>62</v>
      </c>
      <c r="I194">
        <v>64</v>
      </c>
      <c r="J194">
        <v>66</v>
      </c>
      <c r="K194">
        <f t="shared" si="2"/>
        <v>63</v>
      </c>
    </row>
    <row r="195" spans="1:11">
      <c r="A195" t="s">
        <v>24</v>
      </c>
      <c r="B195" t="s">
        <v>38</v>
      </c>
      <c r="C195" t="s">
        <v>18</v>
      </c>
      <c r="D195" t="s">
        <v>14</v>
      </c>
      <c r="E195" t="s">
        <v>19</v>
      </c>
      <c r="F195" s="5" t="s">
        <v>222</v>
      </c>
      <c r="G195">
        <v>14</v>
      </c>
      <c r="H195">
        <v>77</v>
      </c>
      <c r="I195">
        <v>62</v>
      </c>
      <c r="J195">
        <v>62</v>
      </c>
      <c r="K195">
        <f t="shared" ref="K195:K258" si="3">(H195+I195)/2</f>
        <v>69.5</v>
      </c>
    </row>
    <row r="196" spans="1:11">
      <c r="A196" t="s">
        <v>11</v>
      </c>
      <c r="B196" t="s">
        <v>17</v>
      </c>
      <c r="C196" t="s">
        <v>22</v>
      </c>
      <c r="D196" t="s">
        <v>14</v>
      </c>
      <c r="E196" t="s">
        <v>19</v>
      </c>
      <c r="F196" s="5" t="s">
        <v>223</v>
      </c>
      <c r="G196">
        <v>18</v>
      </c>
      <c r="H196">
        <v>69</v>
      </c>
      <c r="I196">
        <v>84</v>
      </c>
      <c r="J196">
        <v>85</v>
      </c>
      <c r="K196">
        <f t="shared" si="3"/>
        <v>76.5</v>
      </c>
    </row>
    <row r="197" spans="1:11">
      <c r="A197" t="s">
        <v>24</v>
      </c>
      <c r="B197" t="s">
        <v>38</v>
      </c>
      <c r="C197" t="s">
        <v>26</v>
      </c>
      <c r="D197" t="s">
        <v>14</v>
      </c>
      <c r="E197" t="s">
        <v>15</v>
      </c>
      <c r="F197" s="5" t="s">
        <v>224</v>
      </c>
      <c r="G197">
        <v>20</v>
      </c>
      <c r="H197">
        <v>61</v>
      </c>
      <c r="I197">
        <v>55</v>
      </c>
      <c r="J197">
        <v>52</v>
      </c>
      <c r="K197">
        <f t="shared" si="3"/>
        <v>58</v>
      </c>
    </row>
    <row r="198" spans="1:11">
      <c r="A198" t="s">
        <v>24</v>
      </c>
      <c r="B198" t="s">
        <v>17</v>
      </c>
      <c r="C198" t="s">
        <v>50</v>
      </c>
      <c r="D198" t="s">
        <v>27</v>
      </c>
      <c r="E198" t="s">
        <v>19</v>
      </c>
      <c r="F198" s="5" t="s">
        <v>225</v>
      </c>
      <c r="G198">
        <v>5</v>
      </c>
      <c r="H198">
        <v>59</v>
      </c>
      <c r="I198">
        <v>69</v>
      </c>
      <c r="J198">
        <v>65</v>
      </c>
      <c r="K198">
        <f t="shared" si="3"/>
        <v>64</v>
      </c>
    </row>
    <row r="199" spans="1:11">
      <c r="A199" t="s">
        <v>24</v>
      </c>
      <c r="B199" t="s">
        <v>69</v>
      </c>
      <c r="C199" t="s">
        <v>39</v>
      </c>
      <c r="D199" t="s">
        <v>27</v>
      </c>
      <c r="E199" t="s">
        <v>15</v>
      </c>
      <c r="F199" s="5" t="s">
        <v>226</v>
      </c>
      <c r="G199">
        <v>25</v>
      </c>
      <c r="H199">
        <v>55</v>
      </c>
      <c r="I199">
        <v>56</v>
      </c>
      <c r="J199">
        <v>51</v>
      </c>
      <c r="K199">
        <f t="shared" si="3"/>
        <v>55.5</v>
      </c>
    </row>
    <row r="200" spans="1:11">
      <c r="A200" t="s">
        <v>11</v>
      </c>
      <c r="B200" t="s">
        <v>12</v>
      </c>
      <c r="C200" t="s">
        <v>18</v>
      </c>
      <c r="D200" t="s">
        <v>27</v>
      </c>
      <c r="E200" t="s">
        <v>15</v>
      </c>
      <c r="F200" s="5" t="s">
        <v>227</v>
      </c>
      <c r="G200">
        <v>1</v>
      </c>
      <c r="H200">
        <v>45</v>
      </c>
      <c r="I200">
        <v>53</v>
      </c>
      <c r="J200">
        <v>55</v>
      </c>
      <c r="K200">
        <f t="shared" si="3"/>
        <v>49</v>
      </c>
    </row>
    <row r="201" spans="1:11">
      <c r="A201" t="s">
        <v>11</v>
      </c>
      <c r="B201" t="s">
        <v>12</v>
      </c>
      <c r="C201" t="s">
        <v>13</v>
      </c>
      <c r="D201" t="s">
        <v>27</v>
      </c>
      <c r="E201" t="s">
        <v>15</v>
      </c>
      <c r="F201" s="5" t="s">
        <v>228</v>
      </c>
      <c r="G201">
        <v>3</v>
      </c>
      <c r="H201">
        <v>78</v>
      </c>
      <c r="I201">
        <v>79</v>
      </c>
      <c r="J201">
        <v>76</v>
      </c>
      <c r="K201">
        <f t="shared" si="3"/>
        <v>78.5</v>
      </c>
    </row>
    <row r="202" spans="1:11">
      <c r="A202" t="s">
        <v>11</v>
      </c>
      <c r="B202" t="s">
        <v>17</v>
      </c>
      <c r="C202" t="s">
        <v>26</v>
      </c>
      <c r="D202" t="s">
        <v>14</v>
      </c>
      <c r="E202" t="s">
        <v>19</v>
      </c>
      <c r="F202" s="5" t="s">
        <v>229</v>
      </c>
      <c r="G202">
        <v>25</v>
      </c>
      <c r="H202">
        <v>67</v>
      </c>
      <c r="I202">
        <v>84</v>
      </c>
      <c r="J202">
        <v>86</v>
      </c>
      <c r="K202">
        <f t="shared" si="3"/>
        <v>75.5</v>
      </c>
    </row>
    <row r="203" spans="1:11">
      <c r="A203" t="s">
        <v>11</v>
      </c>
      <c r="B203" t="s">
        <v>38</v>
      </c>
      <c r="C203" t="s">
        <v>18</v>
      </c>
      <c r="D203" t="s">
        <v>27</v>
      </c>
      <c r="E203" t="s">
        <v>15</v>
      </c>
      <c r="F203" s="5" t="s">
        <v>230</v>
      </c>
      <c r="G203">
        <v>22</v>
      </c>
      <c r="H203">
        <v>65</v>
      </c>
      <c r="I203">
        <v>81</v>
      </c>
      <c r="J203">
        <v>77</v>
      </c>
      <c r="K203">
        <f t="shared" si="3"/>
        <v>73</v>
      </c>
    </row>
    <row r="204" spans="1:11">
      <c r="A204" t="s">
        <v>24</v>
      </c>
      <c r="B204" t="s">
        <v>17</v>
      </c>
      <c r="C204" t="s">
        <v>26</v>
      </c>
      <c r="D204" t="s">
        <v>14</v>
      </c>
      <c r="E204" t="s">
        <v>15</v>
      </c>
      <c r="F204" s="5" t="s">
        <v>231</v>
      </c>
      <c r="G204">
        <v>20</v>
      </c>
      <c r="H204">
        <v>69</v>
      </c>
      <c r="I204">
        <v>77</v>
      </c>
      <c r="J204">
        <v>69</v>
      </c>
      <c r="K204">
        <f t="shared" si="3"/>
        <v>73</v>
      </c>
    </row>
    <row r="205" spans="1:11">
      <c r="A205" t="s">
        <v>11</v>
      </c>
      <c r="B205" t="s">
        <v>12</v>
      </c>
      <c r="C205" t="s">
        <v>26</v>
      </c>
      <c r="D205" t="s">
        <v>14</v>
      </c>
      <c r="E205" t="s">
        <v>15</v>
      </c>
      <c r="F205" s="5" t="s">
        <v>232</v>
      </c>
      <c r="G205">
        <v>7</v>
      </c>
      <c r="H205">
        <v>57</v>
      </c>
      <c r="I205">
        <v>69</v>
      </c>
      <c r="J205">
        <v>68</v>
      </c>
      <c r="K205">
        <f t="shared" si="3"/>
        <v>63</v>
      </c>
    </row>
    <row r="206" spans="1:11">
      <c r="A206" t="s">
        <v>24</v>
      </c>
      <c r="B206" t="s">
        <v>17</v>
      </c>
      <c r="C206" t="s">
        <v>18</v>
      </c>
      <c r="D206" t="s">
        <v>14</v>
      </c>
      <c r="E206" t="s">
        <v>15</v>
      </c>
      <c r="F206" s="5" t="s">
        <v>233</v>
      </c>
      <c r="G206">
        <v>4</v>
      </c>
      <c r="H206">
        <v>59</v>
      </c>
      <c r="I206">
        <v>41</v>
      </c>
      <c r="J206">
        <v>42</v>
      </c>
      <c r="K206">
        <f t="shared" si="3"/>
        <v>50</v>
      </c>
    </row>
    <row r="207" spans="1:11">
      <c r="A207" t="s">
        <v>24</v>
      </c>
      <c r="B207" t="s">
        <v>38</v>
      </c>
      <c r="C207" t="s">
        <v>50</v>
      </c>
      <c r="D207" t="s">
        <v>14</v>
      </c>
      <c r="E207" t="s">
        <v>19</v>
      </c>
      <c r="F207" s="5" t="s">
        <v>234</v>
      </c>
      <c r="G207">
        <v>6</v>
      </c>
      <c r="H207">
        <v>74</v>
      </c>
      <c r="I207">
        <v>71</v>
      </c>
      <c r="J207">
        <v>78</v>
      </c>
      <c r="K207">
        <f t="shared" si="3"/>
        <v>72.5</v>
      </c>
    </row>
    <row r="208" spans="1:11">
      <c r="A208" t="s">
        <v>24</v>
      </c>
      <c r="B208" t="s">
        <v>69</v>
      </c>
      <c r="C208" t="s">
        <v>13</v>
      </c>
      <c r="D208" t="s">
        <v>14</v>
      </c>
      <c r="E208" t="s">
        <v>15</v>
      </c>
      <c r="F208" s="5" t="s">
        <v>235</v>
      </c>
      <c r="G208">
        <v>11</v>
      </c>
      <c r="H208">
        <v>82</v>
      </c>
      <c r="I208">
        <v>62</v>
      </c>
      <c r="J208">
        <v>62</v>
      </c>
      <c r="K208">
        <f t="shared" si="3"/>
        <v>72</v>
      </c>
    </row>
    <row r="209" spans="1:11">
      <c r="A209" t="s">
        <v>24</v>
      </c>
      <c r="B209" t="s">
        <v>69</v>
      </c>
      <c r="C209" t="s">
        <v>39</v>
      </c>
      <c r="D209" t="s">
        <v>14</v>
      </c>
      <c r="E209" t="s">
        <v>19</v>
      </c>
      <c r="F209" s="5" t="s">
        <v>236</v>
      </c>
      <c r="G209">
        <v>13</v>
      </c>
      <c r="H209">
        <v>81</v>
      </c>
      <c r="I209">
        <v>80</v>
      </c>
      <c r="J209">
        <v>76</v>
      </c>
      <c r="K209">
        <f t="shared" si="3"/>
        <v>80.5</v>
      </c>
    </row>
    <row r="210" spans="1:11">
      <c r="A210" t="s">
        <v>11</v>
      </c>
      <c r="B210" t="s">
        <v>12</v>
      </c>
      <c r="C210" t="s">
        <v>18</v>
      </c>
      <c r="D210" t="s">
        <v>27</v>
      </c>
      <c r="E210" t="s">
        <v>15</v>
      </c>
      <c r="F210">
        <v>8.4671605470000006</v>
      </c>
      <c r="G210">
        <v>13</v>
      </c>
      <c r="H210">
        <v>74</v>
      </c>
      <c r="I210">
        <v>81</v>
      </c>
      <c r="J210">
        <v>76</v>
      </c>
      <c r="K210">
        <f t="shared" si="3"/>
        <v>77.5</v>
      </c>
    </row>
    <row r="211" spans="1:11">
      <c r="A211" t="s">
        <v>11</v>
      </c>
      <c r="B211" t="s">
        <v>12</v>
      </c>
      <c r="C211" t="s">
        <v>18</v>
      </c>
      <c r="D211" t="s">
        <v>27</v>
      </c>
      <c r="E211" t="s">
        <v>15</v>
      </c>
      <c r="F211" s="5" t="s">
        <v>237</v>
      </c>
      <c r="G211">
        <v>25</v>
      </c>
      <c r="H211">
        <v>58</v>
      </c>
      <c r="I211">
        <v>61</v>
      </c>
      <c r="J211">
        <v>66</v>
      </c>
      <c r="K211">
        <f t="shared" si="3"/>
        <v>59.5</v>
      </c>
    </row>
    <row r="212" spans="1:11">
      <c r="A212" t="s">
        <v>24</v>
      </c>
      <c r="B212" t="s">
        <v>38</v>
      </c>
      <c r="C212" t="s">
        <v>50</v>
      </c>
      <c r="D212" t="s">
        <v>27</v>
      </c>
      <c r="E212" t="s">
        <v>19</v>
      </c>
      <c r="F212" s="5" t="s">
        <v>238</v>
      </c>
      <c r="G212">
        <v>18</v>
      </c>
      <c r="H212">
        <v>80</v>
      </c>
      <c r="I212">
        <v>79</v>
      </c>
      <c r="J212">
        <v>79</v>
      </c>
      <c r="K212">
        <f t="shared" si="3"/>
        <v>79.5</v>
      </c>
    </row>
    <row r="213" spans="1:11">
      <c r="A213" t="s">
        <v>24</v>
      </c>
      <c r="B213" t="s">
        <v>17</v>
      </c>
      <c r="C213" t="s">
        <v>18</v>
      </c>
      <c r="D213" t="s">
        <v>27</v>
      </c>
      <c r="E213" t="s">
        <v>15</v>
      </c>
      <c r="F213" s="5" t="s">
        <v>239</v>
      </c>
      <c r="G213">
        <v>3</v>
      </c>
      <c r="H213">
        <v>35</v>
      </c>
      <c r="I213">
        <v>28</v>
      </c>
      <c r="J213">
        <v>27</v>
      </c>
      <c r="K213">
        <f t="shared" si="3"/>
        <v>31.5</v>
      </c>
    </row>
    <row r="214" spans="1:11">
      <c r="A214" t="s">
        <v>11</v>
      </c>
      <c r="B214" t="s">
        <v>17</v>
      </c>
      <c r="C214" t="s">
        <v>39</v>
      </c>
      <c r="D214" t="s">
        <v>27</v>
      </c>
      <c r="E214" t="s">
        <v>15</v>
      </c>
      <c r="F214" s="5" t="s">
        <v>240</v>
      </c>
      <c r="G214">
        <v>19</v>
      </c>
      <c r="H214">
        <v>42</v>
      </c>
      <c r="I214">
        <v>62</v>
      </c>
      <c r="J214">
        <v>60</v>
      </c>
      <c r="K214">
        <f t="shared" si="3"/>
        <v>52</v>
      </c>
    </row>
    <row r="215" spans="1:11">
      <c r="A215" t="s">
        <v>24</v>
      </c>
      <c r="B215" t="s">
        <v>17</v>
      </c>
      <c r="C215" t="s">
        <v>26</v>
      </c>
      <c r="D215" t="s">
        <v>27</v>
      </c>
      <c r="E215" t="s">
        <v>19</v>
      </c>
      <c r="F215" s="5" t="s">
        <v>241</v>
      </c>
      <c r="G215">
        <v>12</v>
      </c>
      <c r="H215">
        <v>60</v>
      </c>
      <c r="I215">
        <v>51</v>
      </c>
      <c r="J215">
        <v>56</v>
      </c>
      <c r="K215">
        <f t="shared" si="3"/>
        <v>55.5</v>
      </c>
    </row>
    <row r="216" spans="1:11">
      <c r="A216" t="s">
        <v>24</v>
      </c>
      <c r="B216" t="s">
        <v>69</v>
      </c>
      <c r="C216" t="s">
        <v>39</v>
      </c>
      <c r="D216" t="s">
        <v>14</v>
      </c>
      <c r="E216" t="s">
        <v>19</v>
      </c>
      <c r="F216" s="5" t="s">
        <v>242</v>
      </c>
      <c r="G216">
        <v>25</v>
      </c>
      <c r="H216">
        <v>87</v>
      </c>
      <c r="I216">
        <v>91</v>
      </c>
      <c r="J216">
        <v>81</v>
      </c>
      <c r="K216">
        <f t="shared" si="3"/>
        <v>89</v>
      </c>
    </row>
    <row r="217" spans="1:11">
      <c r="A217" t="s">
        <v>24</v>
      </c>
      <c r="B217" t="s">
        <v>12</v>
      </c>
      <c r="C217" t="s">
        <v>50</v>
      </c>
      <c r="D217" t="s">
        <v>14</v>
      </c>
      <c r="E217" t="s">
        <v>19</v>
      </c>
      <c r="F217" s="5" t="s">
        <v>243</v>
      </c>
      <c r="G217">
        <v>23</v>
      </c>
      <c r="H217">
        <v>84</v>
      </c>
      <c r="I217">
        <v>83</v>
      </c>
      <c r="J217">
        <v>75</v>
      </c>
      <c r="K217">
        <f t="shared" si="3"/>
        <v>83.5</v>
      </c>
    </row>
    <row r="218" spans="1:11">
      <c r="A218" t="s">
        <v>11</v>
      </c>
      <c r="B218" t="s">
        <v>69</v>
      </c>
      <c r="C218" t="s">
        <v>26</v>
      </c>
      <c r="D218" t="s">
        <v>27</v>
      </c>
      <c r="E218" t="s">
        <v>19</v>
      </c>
      <c r="F218" s="5" t="s">
        <v>244</v>
      </c>
      <c r="G218">
        <v>4</v>
      </c>
      <c r="H218">
        <v>83</v>
      </c>
      <c r="I218">
        <v>86</v>
      </c>
      <c r="J218">
        <v>88</v>
      </c>
      <c r="K218">
        <f t="shared" si="3"/>
        <v>84.5</v>
      </c>
    </row>
    <row r="219" spans="1:11">
      <c r="A219" t="s">
        <v>11</v>
      </c>
      <c r="B219" t="s">
        <v>17</v>
      </c>
      <c r="C219" t="s">
        <v>39</v>
      </c>
      <c r="D219" t="s">
        <v>27</v>
      </c>
      <c r="E219" t="s">
        <v>15</v>
      </c>
      <c r="F219" s="5" t="s">
        <v>245</v>
      </c>
      <c r="G219">
        <v>0</v>
      </c>
      <c r="H219">
        <v>34</v>
      </c>
      <c r="I219">
        <v>42</v>
      </c>
      <c r="J219">
        <v>39</v>
      </c>
      <c r="K219">
        <f t="shared" si="3"/>
        <v>38</v>
      </c>
    </row>
    <row r="220" spans="1:11">
      <c r="A220" t="s">
        <v>24</v>
      </c>
      <c r="B220" t="s">
        <v>12</v>
      </c>
      <c r="C220" t="s">
        <v>39</v>
      </c>
      <c r="D220" t="s">
        <v>27</v>
      </c>
      <c r="E220" t="s">
        <v>15</v>
      </c>
      <c r="F220">
        <v>15.71616968</v>
      </c>
      <c r="G220">
        <v>9</v>
      </c>
      <c r="H220">
        <v>66</v>
      </c>
      <c r="I220">
        <v>77</v>
      </c>
      <c r="J220">
        <v>70</v>
      </c>
      <c r="K220">
        <f t="shared" si="3"/>
        <v>71.5</v>
      </c>
    </row>
    <row r="221" spans="1:11">
      <c r="A221" t="s">
        <v>24</v>
      </c>
      <c r="B221" t="s">
        <v>12</v>
      </c>
      <c r="C221" t="s">
        <v>50</v>
      </c>
      <c r="D221" t="s">
        <v>14</v>
      </c>
      <c r="E221" t="s">
        <v>19</v>
      </c>
      <c r="F221" s="5" t="s">
        <v>246</v>
      </c>
      <c r="G221">
        <v>24</v>
      </c>
      <c r="H221">
        <v>61</v>
      </c>
      <c r="I221">
        <v>56</v>
      </c>
      <c r="J221">
        <v>56</v>
      </c>
      <c r="K221">
        <f t="shared" si="3"/>
        <v>58.5</v>
      </c>
    </row>
    <row r="222" spans="1:11">
      <c r="A222" t="s">
        <v>11</v>
      </c>
      <c r="B222" t="s">
        <v>38</v>
      </c>
      <c r="C222" t="s">
        <v>39</v>
      </c>
      <c r="D222" t="s">
        <v>14</v>
      </c>
      <c r="E222" t="s">
        <v>19</v>
      </c>
      <c r="F222" s="5" t="s">
        <v>247</v>
      </c>
      <c r="G222">
        <v>13</v>
      </c>
      <c r="H222">
        <v>56</v>
      </c>
      <c r="I222">
        <v>68</v>
      </c>
      <c r="J222">
        <v>74</v>
      </c>
      <c r="K222">
        <f t="shared" si="3"/>
        <v>62</v>
      </c>
    </row>
    <row r="223" spans="1:11">
      <c r="A223" t="s">
        <v>24</v>
      </c>
      <c r="B223" t="s">
        <v>12</v>
      </c>
      <c r="C223" t="s">
        <v>26</v>
      </c>
      <c r="D223" t="s">
        <v>14</v>
      </c>
      <c r="E223" t="s">
        <v>15</v>
      </c>
      <c r="F223" s="5" t="s">
        <v>248</v>
      </c>
      <c r="G223">
        <v>9</v>
      </c>
      <c r="H223">
        <v>87</v>
      </c>
      <c r="I223">
        <v>85</v>
      </c>
      <c r="J223">
        <v>73</v>
      </c>
      <c r="K223">
        <f t="shared" si="3"/>
        <v>86</v>
      </c>
    </row>
    <row r="224" spans="1:11">
      <c r="A224" t="s">
        <v>11</v>
      </c>
      <c r="B224" t="s">
        <v>17</v>
      </c>
      <c r="C224" t="s">
        <v>50</v>
      </c>
      <c r="D224" t="s">
        <v>27</v>
      </c>
      <c r="E224" t="s">
        <v>15</v>
      </c>
      <c r="F224" s="5" t="s">
        <v>249</v>
      </c>
      <c r="G224">
        <v>12</v>
      </c>
      <c r="H224">
        <v>55</v>
      </c>
      <c r="I224">
        <v>65</v>
      </c>
      <c r="J224">
        <v>62</v>
      </c>
      <c r="K224">
        <f t="shared" si="3"/>
        <v>60</v>
      </c>
    </row>
    <row r="225" spans="1:11">
      <c r="A225" t="s">
        <v>24</v>
      </c>
      <c r="B225" t="s">
        <v>38</v>
      </c>
      <c r="C225" t="s">
        <v>50</v>
      </c>
      <c r="D225" t="s">
        <v>14</v>
      </c>
      <c r="E225" t="s">
        <v>15</v>
      </c>
      <c r="F225" s="5" t="s">
        <v>250</v>
      </c>
      <c r="G225">
        <v>11</v>
      </c>
      <c r="H225">
        <v>86</v>
      </c>
      <c r="I225">
        <v>80</v>
      </c>
      <c r="J225">
        <v>75</v>
      </c>
      <c r="K225">
        <f t="shared" si="3"/>
        <v>83</v>
      </c>
    </row>
    <row r="226" spans="1:11">
      <c r="A226" t="s">
        <v>11</v>
      </c>
      <c r="B226" t="s">
        <v>12</v>
      </c>
      <c r="C226" t="s">
        <v>26</v>
      </c>
      <c r="D226" t="s">
        <v>14</v>
      </c>
      <c r="E226" t="s">
        <v>19</v>
      </c>
      <c r="F226">
        <v>4.6269742640000002</v>
      </c>
      <c r="G226">
        <v>14</v>
      </c>
      <c r="H226">
        <v>52</v>
      </c>
      <c r="I226">
        <v>66</v>
      </c>
      <c r="J226">
        <v>73</v>
      </c>
      <c r="K226">
        <f t="shared" si="3"/>
        <v>59</v>
      </c>
    </row>
    <row r="227" spans="1:11">
      <c r="A227" t="s">
        <v>11</v>
      </c>
      <c r="B227" t="s">
        <v>69</v>
      </c>
      <c r="C227" t="s">
        <v>22</v>
      </c>
      <c r="D227" t="s">
        <v>27</v>
      </c>
      <c r="E227" t="s">
        <v>15</v>
      </c>
      <c r="F227">
        <v>0.77747394000000003</v>
      </c>
      <c r="G227">
        <v>22</v>
      </c>
      <c r="H227">
        <v>45</v>
      </c>
      <c r="I227">
        <v>56</v>
      </c>
      <c r="J227">
        <v>54</v>
      </c>
      <c r="K227">
        <f t="shared" si="3"/>
        <v>50.5</v>
      </c>
    </row>
    <row r="228" spans="1:11">
      <c r="A228" t="s">
        <v>11</v>
      </c>
      <c r="B228" t="s">
        <v>17</v>
      </c>
      <c r="C228" t="s">
        <v>18</v>
      </c>
      <c r="D228" t="s">
        <v>14</v>
      </c>
      <c r="E228" t="s">
        <v>15</v>
      </c>
      <c r="F228" s="5" t="s">
        <v>251</v>
      </c>
      <c r="G228">
        <v>7</v>
      </c>
      <c r="H228">
        <v>72</v>
      </c>
      <c r="I228">
        <v>72</v>
      </c>
      <c r="J228">
        <v>71</v>
      </c>
      <c r="K228">
        <f t="shared" si="3"/>
        <v>72</v>
      </c>
    </row>
    <row r="229" spans="1:11">
      <c r="A229" t="s">
        <v>24</v>
      </c>
      <c r="B229" t="s">
        <v>38</v>
      </c>
      <c r="C229" t="s">
        <v>39</v>
      </c>
      <c r="D229" t="s">
        <v>14</v>
      </c>
      <c r="E229" t="s">
        <v>15</v>
      </c>
      <c r="F229" s="5" t="s">
        <v>252</v>
      </c>
      <c r="G229">
        <v>26</v>
      </c>
      <c r="H229">
        <v>57</v>
      </c>
      <c r="I229">
        <v>50</v>
      </c>
      <c r="J229">
        <v>54</v>
      </c>
      <c r="K229">
        <f t="shared" si="3"/>
        <v>53.5</v>
      </c>
    </row>
    <row r="230" spans="1:11">
      <c r="A230" t="s">
        <v>24</v>
      </c>
      <c r="B230" t="s">
        <v>25</v>
      </c>
      <c r="C230" t="s">
        <v>50</v>
      </c>
      <c r="D230" t="s">
        <v>27</v>
      </c>
      <c r="E230" t="s">
        <v>15</v>
      </c>
      <c r="F230" s="5" t="s">
        <v>253</v>
      </c>
      <c r="G230">
        <v>16</v>
      </c>
      <c r="H230">
        <v>68</v>
      </c>
      <c r="I230">
        <v>72</v>
      </c>
      <c r="J230">
        <v>64</v>
      </c>
      <c r="K230">
        <f t="shared" si="3"/>
        <v>70</v>
      </c>
    </row>
    <row r="231" spans="1:11">
      <c r="A231" t="s">
        <v>11</v>
      </c>
      <c r="B231" t="s">
        <v>17</v>
      </c>
      <c r="C231" t="s">
        <v>18</v>
      </c>
      <c r="D231" t="s">
        <v>14</v>
      </c>
      <c r="E231" t="s">
        <v>19</v>
      </c>
      <c r="F231" s="5" t="s">
        <v>254</v>
      </c>
      <c r="G231">
        <v>9</v>
      </c>
      <c r="H231">
        <v>88</v>
      </c>
      <c r="I231">
        <v>95</v>
      </c>
      <c r="J231">
        <v>94</v>
      </c>
      <c r="K231">
        <f t="shared" si="3"/>
        <v>91.5</v>
      </c>
    </row>
    <row r="232" spans="1:11">
      <c r="A232" t="s">
        <v>24</v>
      </c>
      <c r="B232" t="s">
        <v>38</v>
      </c>
      <c r="C232" t="s">
        <v>18</v>
      </c>
      <c r="D232" t="s">
        <v>14</v>
      </c>
      <c r="E232" t="s">
        <v>15</v>
      </c>
      <c r="F232" s="5" t="s">
        <v>255</v>
      </c>
      <c r="G232">
        <v>29</v>
      </c>
      <c r="H232">
        <v>76</v>
      </c>
      <c r="I232">
        <v>64</v>
      </c>
      <c r="J232">
        <v>66</v>
      </c>
      <c r="K232">
        <f t="shared" si="3"/>
        <v>70</v>
      </c>
    </row>
    <row r="233" spans="1:11">
      <c r="A233" t="s">
        <v>24</v>
      </c>
      <c r="B233" t="s">
        <v>17</v>
      </c>
      <c r="C233" t="s">
        <v>26</v>
      </c>
      <c r="D233" t="s">
        <v>14</v>
      </c>
      <c r="E233" t="s">
        <v>15</v>
      </c>
      <c r="F233" s="5" t="s">
        <v>256</v>
      </c>
      <c r="G233">
        <v>9</v>
      </c>
      <c r="H233">
        <v>46</v>
      </c>
      <c r="I233">
        <v>43</v>
      </c>
      <c r="J233">
        <v>42</v>
      </c>
      <c r="K233">
        <f t="shared" si="3"/>
        <v>44.5</v>
      </c>
    </row>
    <row r="234" spans="1:11">
      <c r="A234" t="s">
        <v>11</v>
      </c>
      <c r="B234" t="s">
        <v>12</v>
      </c>
      <c r="C234" t="s">
        <v>13</v>
      </c>
      <c r="D234" t="s">
        <v>14</v>
      </c>
      <c r="E234" t="s">
        <v>15</v>
      </c>
      <c r="F234">
        <v>5.9690132230000001</v>
      </c>
      <c r="G234">
        <v>0</v>
      </c>
      <c r="H234">
        <v>67</v>
      </c>
      <c r="I234">
        <v>86</v>
      </c>
      <c r="J234">
        <v>83</v>
      </c>
      <c r="K234">
        <f t="shared" si="3"/>
        <v>76.5</v>
      </c>
    </row>
    <row r="235" spans="1:11">
      <c r="A235" t="s">
        <v>24</v>
      </c>
      <c r="B235" t="s">
        <v>69</v>
      </c>
      <c r="C235" t="s">
        <v>50</v>
      </c>
      <c r="D235" t="s">
        <v>14</v>
      </c>
      <c r="E235" t="s">
        <v>15</v>
      </c>
      <c r="F235" s="5" t="s">
        <v>257</v>
      </c>
      <c r="G235">
        <v>27</v>
      </c>
      <c r="H235">
        <v>92</v>
      </c>
      <c r="I235">
        <v>87</v>
      </c>
      <c r="J235">
        <v>78</v>
      </c>
      <c r="K235">
        <f t="shared" si="3"/>
        <v>89.5</v>
      </c>
    </row>
    <row r="236" spans="1:11">
      <c r="A236" t="s">
        <v>24</v>
      </c>
      <c r="B236" t="s">
        <v>17</v>
      </c>
      <c r="C236" t="s">
        <v>13</v>
      </c>
      <c r="D236" t="s">
        <v>14</v>
      </c>
      <c r="E236" t="s">
        <v>19</v>
      </c>
      <c r="F236" s="5" t="s">
        <v>258</v>
      </c>
      <c r="G236">
        <v>13</v>
      </c>
      <c r="H236">
        <v>83</v>
      </c>
      <c r="I236">
        <v>82</v>
      </c>
      <c r="J236">
        <v>84</v>
      </c>
      <c r="K236">
        <f t="shared" si="3"/>
        <v>82.5</v>
      </c>
    </row>
    <row r="237" spans="1:11">
      <c r="A237" t="s">
        <v>24</v>
      </c>
      <c r="B237" t="s">
        <v>38</v>
      </c>
      <c r="C237" t="s">
        <v>26</v>
      </c>
      <c r="D237" t="s">
        <v>14</v>
      </c>
      <c r="E237" t="s">
        <v>15</v>
      </c>
      <c r="F237" s="5" t="s">
        <v>259</v>
      </c>
      <c r="G237">
        <v>4</v>
      </c>
      <c r="H237">
        <v>80</v>
      </c>
      <c r="I237">
        <v>75</v>
      </c>
      <c r="J237">
        <v>77</v>
      </c>
      <c r="K237">
        <f t="shared" si="3"/>
        <v>77.5</v>
      </c>
    </row>
    <row r="238" spans="1:11">
      <c r="A238" t="s">
        <v>24</v>
      </c>
      <c r="B238" t="s">
        <v>38</v>
      </c>
      <c r="C238" t="s">
        <v>13</v>
      </c>
      <c r="D238" t="s">
        <v>27</v>
      </c>
      <c r="E238" t="s">
        <v>15</v>
      </c>
      <c r="F238" s="5" t="s">
        <v>260</v>
      </c>
      <c r="G238">
        <v>6</v>
      </c>
      <c r="H238">
        <v>63</v>
      </c>
      <c r="I238">
        <v>66</v>
      </c>
      <c r="J238">
        <v>67</v>
      </c>
      <c r="K238">
        <f t="shared" si="3"/>
        <v>64.5</v>
      </c>
    </row>
    <row r="239" spans="1:11">
      <c r="A239" t="s">
        <v>11</v>
      </c>
      <c r="B239" t="s">
        <v>38</v>
      </c>
      <c r="C239" t="s">
        <v>50</v>
      </c>
      <c r="D239" t="s">
        <v>14</v>
      </c>
      <c r="E239" t="s">
        <v>19</v>
      </c>
      <c r="F239" s="5" t="s">
        <v>261</v>
      </c>
      <c r="G239">
        <v>27</v>
      </c>
      <c r="H239">
        <v>64</v>
      </c>
      <c r="I239">
        <v>60</v>
      </c>
      <c r="J239">
        <v>74</v>
      </c>
      <c r="K239">
        <f t="shared" si="3"/>
        <v>62</v>
      </c>
    </row>
    <row r="240" spans="1:11">
      <c r="A240" t="s">
        <v>24</v>
      </c>
      <c r="B240" t="s">
        <v>12</v>
      </c>
      <c r="C240" t="s">
        <v>18</v>
      </c>
      <c r="D240" t="s">
        <v>14</v>
      </c>
      <c r="E240" t="s">
        <v>15</v>
      </c>
      <c r="F240" s="5" t="s">
        <v>262</v>
      </c>
      <c r="G240">
        <v>3</v>
      </c>
      <c r="H240">
        <v>54</v>
      </c>
      <c r="I240">
        <v>52</v>
      </c>
      <c r="J240">
        <v>51</v>
      </c>
      <c r="K240">
        <f t="shared" si="3"/>
        <v>53</v>
      </c>
    </row>
    <row r="241" spans="1:11">
      <c r="A241" t="s">
        <v>24</v>
      </c>
      <c r="B241" t="s">
        <v>17</v>
      </c>
      <c r="C241" t="s">
        <v>26</v>
      </c>
      <c r="D241" t="s">
        <v>14</v>
      </c>
      <c r="E241" t="s">
        <v>15</v>
      </c>
      <c r="F241" s="5" t="s">
        <v>263</v>
      </c>
      <c r="G241">
        <v>8</v>
      </c>
      <c r="H241">
        <v>84</v>
      </c>
      <c r="I241">
        <v>80</v>
      </c>
      <c r="J241">
        <v>80</v>
      </c>
      <c r="K241">
        <f t="shared" si="3"/>
        <v>82</v>
      </c>
    </row>
    <row r="242" spans="1:11">
      <c r="A242" t="s">
        <v>24</v>
      </c>
      <c r="B242" t="s">
        <v>38</v>
      </c>
      <c r="C242" t="s">
        <v>39</v>
      </c>
      <c r="D242" t="s">
        <v>27</v>
      </c>
      <c r="E242" t="s">
        <v>19</v>
      </c>
      <c r="F242" s="5" t="s">
        <v>264</v>
      </c>
      <c r="G242">
        <v>3</v>
      </c>
      <c r="H242">
        <v>73</v>
      </c>
      <c r="I242">
        <v>68</v>
      </c>
      <c r="J242">
        <v>66</v>
      </c>
      <c r="K242">
        <f t="shared" si="3"/>
        <v>70.5</v>
      </c>
    </row>
    <row r="243" spans="1:11">
      <c r="A243" t="s">
        <v>11</v>
      </c>
      <c r="B243" t="s">
        <v>69</v>
      </c>
      <c r="C243" t="s">
        <v>13</v>
      </c>
      <c r="D243" t="s">
        <v>14</v>
      </c>
      <c r="E243" t="s">
        <v>15</v>
      </c>
      <c r="F243">
        <v>7.5984858190000004</v>
      </c>
      <c r="G243">
        <v>15</v>
      </c>
      <c r="H243">
        <v>80</v>
      </c>
      <c r="I243">
        <v>83</v>
      </c>
      <c r="J243">
        <v>83</v>
      </c>
      <c r="K243">
        <f t="shared" si="3"/>
        <v>81.5</v>
      </c>
    </row>
    <row r="244" spans="1:11">
      <c r="A244" t="s">
        <v>11</v>
      </c>
      <c r="B244" t="s">
        <v>38</v>
      </c>
      <c r="C244" t="s">
        <v>39</v>
      </c>
      <c r="D244" t="s">
        <v>14</v>
      </c>
      <c r="E244" t="s">
        <v>15</v>
      </c>
      <c r="F244" s="5" t="s">
        <v>265</v>
      </c>
      <c r="G244">
        <v>4</v>
      </c>
      <c r="H244">
        <v>56</v>
      </c>
      <c r="I244">
        <v>52</v>
      </c>
      <c r="J244">
        <v>55</v>
      </c>
      <c r="K244">
        <f t="shared" si="3"/>
        <v>54</v>
      </c>
    </row>
    <row r="245" spans="1:11">
      <c r="A245" t="s">
        <v>24</v>
      </c>
      <c r="B245" t="s">
        <v>69</v>
      </c>
      <c r="C245" t="s">
        <v>18</v>
      </c>
      <c r="D245" t="s">
        <v>14</v>
      </c>
      <c r="E245" t="s">
        <v>15</v>
      </c>
      <c r="F245" s="5" t="s">
        <v>266</v>
      </c>
      <c r="G245">
        <v>15</v>
      </c>
      <c r="H245">
        <v>59</v>
      </c>
      <c r="I245">
        <v>51</v>
      </c>
      <c r="J245">
        <v>43</v>
      </c>
      <c r="K245">
        <f t="shared" si="3"/>
        <v>55</v>
      </c>
    </row>
    <row r="246" spans="1:11">
      <c r="A246" t="s">
        <v>24</v>
      </c>
      <c r="B246" t="s">
        <v>38</v>
      </c>
      <c r="C246" t="s">
        <v>50</v>
      </c>
      <c r="D246" t="s">
        <v>14</v>
      </c>
      <c r="E246" t="s">
        <v>15</v>
      </c>
      <c r="F246">
        <v>8.0308810000000001E-3</v>
      </c>
      <c r="G246">
        <v>27</v>
      </c>
      <c r="H246">
        <v>75</v>
      </c>
      <c r="I246">
        <v>74</v>
      </c>
      <c r="J246">
        <v>69</v>
      </c>
      <c r="K246">
        <f t="shared" si="3"/>
        <v>74.5</v>
      </c>
    </row>
    <row r="247" spans="1:11">
      <c r="A247" t="s">
        <v>24</v>
      </c>
      <c r="B247" t="s">
        <v>17</v>
      </c>
      <c r="C247" t="s">
        <v>26</v>
      </c>
      <c r="D247" t="s">
        <v>14</v>
      </c>
      <c r="E247" t="s">
        <v>15</v>
      </c>
      <c r="F247" s="5" t="s">
        <v>267</v>
      </c>
      <c r="G247">
        <v>0</v>
      </c>
      <c r="H247">
        <v>85</v>
      </c>
      <c r="I247">
        <v>76</v>
      </c>
      <c r="J247">
        <v>71</v>
      </c>
      <c r="K247">
        <f t="shared" si="3"/>
        <v>80.5</v>
      </c>
    </row>
    <row r="248" spans="1:11">
      <c r="A248" t="s">
        <v>24</v>
      </c>
      <c r="B248" t="s">
        <v>69</v>
      </c>
      <c r="C248" t="s">
        <v>26</v>
      </c>
      <c r="D248" t="s">
        <v>14</v>
      </c>
      <c r="E248" t="s">
        <v>15</v>
      </c>
      <c r="F248" s="5" t="s">
        <v>268</v>
      </c>
      <c r="G248">
        <v>8</v>
      </c>
      <c r="H248">
        <v>89</v>
      </c>
      <c r="I248">
        <v>76</v>
      </c>
      <c r="J248">
        <v>74</v>
      </c>
      <c r="K248">
        <f t="shared" si="3"/>
        <v>82.5</v>
      </c>
    </row>
    <row r="249" spans="1:11">
      <c r="A249" t="s">
        <v>11</v>
      </c>
      <c r="B249" t="s">
        <v>12</v>
      </c>
      <c r="C249" t="s">
        <v>39</v>
      </c>
      <c r="D249" t="s">
        <v>14</v>
      </c>
      <c r="E249" t="s">
        <v>19</v>
      </c>
      <c r="F249" s="5" t="s">
        <v>269</v>
      </c>
      <c r="G249">
        <v>13</v>
      </c>
      <c r="H249">
        <v>58</v>
      </c>
      <c r="I249">
        <v>70</v>
      </c>
      <c r="J249">
        <v>68</v>
      </c>
      <c r="K249">
        <f t="shared" si="3"/>
        <v>64</v>
      </c>
    </row>
    <row r="250" spans="1:11">
      <c r="A250" t="s">
        <v>11</v>
      </c>
      <c r="B250" t="s">
        <v>12</v>
      </c>
      <c r="C250" t="s">
        <v>39</v>
      </c>
      <c r="D250" t="s">
        <v>14</v>
      </c>
      <c r="E250" t="s">
        <v>15</v>
      </c>
      <c r="F250" s="5" t="s">
        <v>270</v>
      </c>
      <c r="G250">
        <v>23</v>
      </c>
      <c r="H250">
        <v>65</v>
      </c>
      <c r="I250">
        <v>64</v>
      </c>
      <c r="J250">
        <v>62</v>
      </c>
      <c r="K250">
        <f t="shared" si="3"/>
        <v>64.5</v>
      </c>
    </row>
    <row r="251" spans="1:11">
      <c r="A251" t="s">
        <v>24</v>
      </c>
      <c r="B251" t="s">
        <v>17</v>
      </c>
      <c r="C251" t="s">
        <v>39</v>
      </c>
      <c r="D251" t="s">
        <v>14</v>
      </c>
      <c r="E251" t="s">
        <v>15</v>
      </c>
      <c r="F251" s="5" t="s">
        <v>271</v>
      </c>
      <c r="G251">
        <v>26</v>
      </c>
      <c r="H251">
        <v>68</v>
      </c>
      <c r="I251">
        <v>60</v>
      </c>
      <c r="J251">
        <v>53</v>
      </c>
      <c r="K251">
        <f t="shared" si="3"/>
        <v>64</v>
      </c>
    </row>
    <row r="252" spans="1:11">
      <c r="A252" t="s">
        <v>24</v>
      </c>
      <c r="B252" t="s">
        <v>25</v>
      </c>
      <c r="C252" t="s">
        <v>50</v>
      </c>
      <c r="D252" t="s">
        <v>14</v>
      </c>
      <c r="E252" t="s">
        <v>19</v>
      </c>
      <c r="F252" s="5" t="s">
        <v>272</v>
      </c>
      <c r="G252">
        <v>8</v>
      </c>
      <c r="H252">
        <v>47</v>
      </c>
      <c r="I252">
        <v>49</v>
      </c>
      <c r="J252">
        <v>49</v>
      </c>
      <c r="K252">
        <f t="shared" si="3"/>
        <v>48</v>
      </c>
    </row>
    <row r="253" spans="1:11">
      <c r="A253" t="s">
        <v>11</v>
      </c>
      <c r="B253" t="s">
        <v>38</v>
      </c>
      <c r="C253" t="s">
        <v>18</v>
      </c>
      <c r="D253" t="s">
        <v>27</v>
      </c>
      <c r="E253" t="s">
        <v>15</v>
      </c>
      <c r="F253" s="5" t="s">
        <v>273</v>
      </c>
      <c r="G253">
        <v>5</v>
      </c>
      <c r="H253">
        <v>71</v>
      </c>
      <c r="I253">
        <v>83</v>
      </c>
      <c r="J253">
        <v>83</v>
      </c>
      <c r="K253">
        <f t="shared" si="3"/>
        <v>77</v>
      </c>
    </row>
    <row r="254" spans="1:11">
      <c r="A254" t="s">
        <v>11</v>
      </c>
      <c r="B254" t="s">
        <v>12</v>
      </c>
      <c r="C254" t="s">
        <v>50</v>
      </c>
      <c r="D254" t="s">
        <v>14</v>
      </c>
      <c r="E254" t="s">
        <v>19</v>
      </c>
      <c r="F254" s="5" t="s">
        <v>274</v>
      </c>
      <c r="G254">
        <v>12</v>
      </c>
      <c r="H254">
        <v>60</v>
      </c>
      <c r="I254">
        <v>70</v>
      </c>
      <c r="J254">
        <v>70</v>
      </c>
      <c r="K254">
        <f t="shared" si="3"/>
        <v>65</v>
      </c>
    </row>
    <row r="255" spans="1:11">
      <c r="A255" t="s">
        <v>24</v>
      </c>
      <c r="B255" t="s">
        <v>38</v>
      </c>
      <c r="C255" t="s">
        <v>22</v>
      </c>
      <c r="D255" t="s">
        <v>14</v>
      </c>
      <c r="E255" t="s">
        <v>15</v>
      </c>
      <c r="F255" s="5" t="s">
        <v>275</v>
      </c>
      <c r="G255">
        <v>0</v>
      </c>
      <c r="H255">
        <v>80</v>
      </c>
      <c r="I255">
        <v>80</v>
      </c>
      <c r="J255">
        <v>72</v>
      </c>
      <c r="K255">
        <f t="shared" si="3"/>
        <v>80</v>
      </c>
    </row>
    <row r="256" spans="1:11">
      <c r="A256" t="s">
        <v>24</v>
      </c>
      <c r="B256" t="s">
        <v>38</v>
      </c>
      <c r="C256" t="s">
        <v>39</v>
      </c>
      <c r="D256" t="s">
        <v>14</v>
      </c>
      <c r="E256" t="s">
        <v>15</v>
      </c>
      <c r="F256" s="5" t="s">
        <v>276</v>
      </c>
      <c r="G256">
        <v>3</v>
      </c>
      <c r="H256">
        <v>54</v>
      </c>
      <c r="I256">
        <v>52</v>
      </c>
      <c r="J256">
        <v>52</v>
      </c>
      <c r="K256">
        <f t="shared" si="3"/>
        <v>53</v>
      </c>
    </row>
    <row r="257" spans="1:11">
      <c r="A257" t="s">
        <v>11</v>
      </c>
      <c r="B257" t="s">
        <v>69</v>
      </c>
      <c r="C257" t="s">
        <v>18</v>
      </c>
      <c r="D257" t="s">
        <v>14</v>
      </c>
      <c r="E257" t="s">
        <v>15</v>
      </c>
      <c r="F257" s="5" t="s">
        <v>277</v>
      </c>
      <c r="G257">
        <v>6</v>
      </c>
      <c r="H257">
        <v>62</v>
      </c>
      <c r="I257">
        <v>73</v>
      </c>
      <c r="J257">
        <v>70</v>
      </c>
      <c r="K257">
        <f t="shared" si="3"/>
        <v>67.5</v>
      </c>
    </row>
    <row r="258" spans="1:11">
      <c r="A258" t="s">
        <v>11</v>
      </c>
      <c r="B258" t="s">
        <v>17</v>
      </c>
      <c r="C258" t="s">
        <v>26</v>
      </c>
      <c r="D258" t="s">
        <v>27</v>
      </c>
      <c r="E258" t="s">
        <v>15</v>
      </c>
      <c r="F258" s="5" t="s">
        <v>278</v>
      </c>
      <c r="G258">
        <v>8</v>
      </c>
      <c r="H258">
        <v>64</v>
      </c>
      <c r="I258">
        <v>73</v>
      </c>
      <c r="J258">
        <v>68</v>
      </c>
      <c r="K258">
        <f t="shared" si="3"/>
        <v>68.5</v>
      </c>
    </row>
    <row r="259" spans="1:11">
      <c r="A259" t="s">
        <v>24</v>
      </c>
      <c r="B259" t="s">
        <v>17</v>
      </c>
      <c r="C259" t="s">
        <v>26</v>
      </c>
      <c r="D259" t="s">
        <v>14</v>
      </c>
      <c r="E259" t="s">
        <v>19</v>
      </c>
      <c r="F259" s="5" t="s">
        <v>279</v>
      </c>
      <c r="G259">
        <v>15</v>
      </c>
      <c r="H259">
        <v>78</v>
      </c>
      <c r="I259">
        <v>77</v>
      </c>
      <c r="J259">
        <v>77</v>
      </c>
      <c r="K259">
        <f t="shared" ref="K259:K322" si="4">(H259+I259)/2</f>
        <v>77.5</v>
      </c>
    </row>
    <row r="260" spans="1:11">
      <c r="A260" t="s">
        <v>11</v>
      </c>
      <c r="B260" t="s">
        <v>12</v>
      </c>
      <c r="C260" t="s">
        <v>18</v>
      </c>
      <c r="D260" t="s">
        <v>14</v>
      </c>
      <c r="E260" t="s">
        <v>15</v>
      </c>
      <c r="F260" s="5" t="s">
        <v>280</v>
      </c>
      <c r="G260">
        <v>18</v>
      </c>
      <c r="H260">
        <v>70</v>
      </c>
      <c r="I260">
        <v>75</v>
      </c>
      <c r="J260">
        <v>78</v>
      </c>
      <c r="K260">
        <f t="shared" si="4"/>
        <v>72.5</v>
      </c>
    </row>
    <row r="261" spans="1:11">
      <c r="A261" t="s">
        <v>11</v>
      </c>
      <c r="B261" t="s">
        <v>17</v>
      </c>
      <c r="C261" t="s">
        <v>22</v>
      </c>
      <c r="D261" t="s">
        <v>27</v>
      </c>
      <c r="E261" t="s">
        <v>19</v>
      </c>
      <c r="F261" s="5" t="s">
        <v>281</v>
      </c>
      <c r="G261">
        <v>23</v>
      </c>
      <c r="H261">
        <v>65</v>
      </c>
      <c r="I261">
        <v>81</v>
      </c>
      <c r="J261">
        <v>81</v>
      </c>
      <c r="K261">
        <f t="shared" si="4"/>
        <v>73</v>
      </c>
    </row>
    <row r="262" spans="1:11">
      <c r="A262" t="s">
        <v>11</v>
      </c>
      <c r="B262" t="s">
        <v>17</v>
      </c>
      <c r="C262" t="s">
        <v>50</v>
      </c>
      <c r="D262" t="s">
        <v>27</v>
      </c>
      <c r="E262" t="s">
        <v>19</v>
      </c>
      <c r="F262" s="5" t="s">
        <v>282</v>
      </c>
      <c r="G262">
        <v>17</v>
      </c>
      <c r="H262">
        <v>64</v>
      </c>
      <c r="I262">
        <v>79</v>
      </c>
      <c r="J262">
        <v>77</v>
      </c>
      <c r="K262">
        <f t="shared" si="4"/>
        <v>71.5</v>
      </c>
    </row>
    <row r="263" spans="1:11">
      <c r="A263" t="s">
        <v>24</v>
      </c>
      <c r="B263" t="s">
        <v>17</v>
      </c>
      <c r="C263" t="s">
        <v>18</v>
      </c>
      <c r="D263" t="s">
        <v>14</v>
      </c>
      <c r="E263" t="s">
        <v>19</v>
      </c>
      <c r="F263" s="5" t="s">
        <v>283</v>
      </c>
      <c r="G263">
        <v>9</v>
      </c>
      <c r="H263">
        <v>79</v>
      </c>
      <c r="I263">
        <v>79</v>
      </c>
      <c r="J263">
        <v>78</v>
      </c>
      <c r="K263">
        <f t="shared" si="4"/>
        <v>79</v>
      </c>
    </row>
    <row r="264" spans="1:11">
      <c r="A264" t="s">
        <v>11</v>
      </c>
      <c r="B264" t="s">
        <v>17</v>
      </c>
      <c r="C264" t="s">
        <v>50</v>
      </c>
      <c r="D264" t="s">
        <v>27</v>
      </c>
      <c r="E264" t="s">
        <v>15</v>
      </c>
      <c r="F264" s="5" t="s">
        <v>284</v>
      </c>
      <c r="G264">
        <v>0</v>
      </c>
      <c r="H264">
        <v>44</v>
      </c>
      <c r="I264">
        <v>50</v>
      </c>
      <c r="J264">
        <v>51</v>
      </c>
      <c r="K264">
        <f t="shared" si="4"/>
        <v>47</v>
      </c>
    </row>
    <row r="265" spans="1:11">
      <c r="A265" t="s">
        <v>11</v>
      </c>
      <c r="B265" t="s">
        <v>69</v>
      </c>
      <c r="C265" t="s">
        <v>39</v>
      </c>
      <c r="D265" t="s">
        <v>14</v>
      </c>
      <c r="E265" t="s">
        <v>15</v>
      </c>
      <c r="F265" s="5" t="s">
        <v>285</v>
      </c>
      <c r="G265">
        <v>18</v>
      </c>
      <c r="H265">
        <v>99</v>
      </c>
      <c r="I265">
        <v>93</v>
      </c>
      <c r="J265">
        <v>90</v>
      </c>
      <c r="K265">
        <f t="shared" si="4"/>
        <v>96</v>
      </c>
    </row>
    <row r="266" spans="1:11">
      <c r="A266" t="s">
        <v>24</v>
      </c>
      <c r="B266" t="s">
        <v>38</v>
      </c>
      <c r="C266" t="s">
        <v>39</v>
      </c>
      <c r="D266" t="s">
        <v>14</v>
      </c>
      <c r="E266" t="s">
        <v>15</v>
      </c>
      <c r="F266" s="5" t="s">
        <v>286</v>
      </c>
      <c r="G266">
        <v>18</v>
      </c>
      <c r="H266">
        <v>76</v>
      </c>
      <c r="I266">
        <v>73</v>
      </c>
      <c r="J266">
        <v>68</v>
      </c>
      <c r="K266">
        <f t="shared" si="4"/>
        <v>74.5</v>
      </c>
    </row>
    <row r="267" spans="1:11">
      <c r="A267" t="s">
        <v>24</v>
      </c>
      <c r="B267" t="s">
        <v>38</v>
      </c>
      <c r="C267" t="s">
        <v>50</v>
      </c>
      <c r="D267" t="s">
        <v>27</v>
      </c>
      <c r="E267" t="s">
        <v>15</v>
      </c>
      <c r="F267" s="5" t="s">
        <v>287</v>
      </c>
      <c r="G267">
        <v>6</v>
      </c>
      <c r="H267">
        <v>59</v>
      </c>
      <c r="I267">
        <v>42</v>
      </c>
      <c r="J267">
        <v>41</v>
      </c>
      <c r="K267">
        <f t="shared" si="4"/>
        <v>50.5</v>
      </c>
    </row>
    <row r="268" spans="1:11">
      <c r="A268" t="s">
        <v>11</v>
      </c>
      <c r="B268" t="s">
        <v>17</v>
      </c>
      <c r="C268" t="s">
        <v>13</v>
      </c>
      <c r="D268" t="s">
        <v>14</v>
      </c>
      <c r="E268" t="s">
        <v>15</v>
      </c>
      <c r="F268" s="5" t="s">
        <v>288</v>
      </c>
      <c r="G268">
        <v>9</v>
      </c>
      <c r="H268">
        <v>63</v>
      </c>
      <c r="I268">
        <v>75</v>
      </c>
      <c r="J268">
        <v>81</v>
      </c>
      <c r="K268">
        <f t="shared" si="4"/>
        <v>69</v>
      </c>
    </row>
    <row r="269" spans="1:11">
      <c r="A269" t="s">
        <v>11</v>
      </c>
      <c r="B269" t="s">
        <v>38</v>
      </c>
      <c r="C269" t="s">
        <v>39</v>
      </c>
      <c r="D269" t="s">
        <v>14</v>
      </c>
      <c r="E269" t="s">
        <v>15</v>
      </c>
      <c r="F269" s="5" t="s">
        <v>289</v>
      </c>
      <c r="G269">
        <v>25</v>
      </c>
      <c r="H269">
        <v>69</v>
      </c>
      <c r="I269">
        <v>72</v>
      </c>
      <c r="J269">
        <v>77</v>
      </c>
      <c r="K269">
        <f t="shared" si="4"/>
        <v>70.5</v>
      </c>
    </row>
    <row r="270" spans="1:11">
      <c r="A270" t="s">
        <v>11</v>
      </c>
      <c r="B270" t="s">
        <v>38</v>
      </c>
      <c r="C270" t="s">
        <v>26</v>
      </c>
      <c r="D270" t="s">
        <v>14</v>
      </c>
      <c r="E270" t="s">
        <v>19</v>
      </c>
      <c r="F270" s="5" t="s">
        <v>290</v>
      </c>
      <c r="G270">
        <v>26</v>
      </c>
      <c r="H270">
        <v>88</v>
      </c>
      <c r="I270">
        <v>92</v>
      </c>
      <c r="J270">
        <v>95</v>
      </c>
      <c r="K270">
        <f t="shared" si="4"/>
        <v>90</v>
      </c>
    </row>
    <row r="271" spans="1:11">
      <c r="A271" t="s">
        <v>11</v>
      </c>
      <c r="B271" t="s">
        <v>69</v>
      </c>
      <c r="C271" t="s">
        <v>18</v>
      </c>
      <c r="D271" t="s">
        <v>27</v>
      </c>
      <c r="E271" t="s">
        <v>15</v>
      </c>
      <c r="F271" s="5" t="s">
        <v>291</v>
      </c>
      <c r="G271">
        <v>14</v>
      </c>
      <c r="H271">
        <v>71</v>
      </c>
      <c r="I271">
        <v>76</v>
      </c>
      <c r="J271">
        <v>70</v>
      </c>
      <c r="K271">
        <f t="shared" si="4"/>
        <v>73.5</v>
      </c>
    </row>
    <row r="272" spans="1:11">
      <c r="A272" t="s">
        <v>24</v>
      </c>
      <c r="B272" t="s">
        <v>17</v>
      </c>
      <c r="C272" t="s">
        <v>13</v>
      </c>
      <c r="D272" t="s">
        <v>14</v>
      </c>
      <c r="E272" t="s">
        <v>15</v>
      </c>
      <c r="F272" s="5" t="s">
        <v>292</v>
      </c>
      <c r="G272">
        <v>27</v>
      </c>
      <c r="H272">
        <v>69</v>
      </c>
      <c r="I272">
        <v>63</v>
      </c>
      <c r="J272">
        <v>61</v>
      </c>
      <c r="K272">
        <f t="shared" si="4"/>
        <v>66</v>
      </c>
    </row>
    <row r="273" spans="1:11">
      <c r="A273" t="s">
        <v>24</v>
      </c>
      <c r="B273" t="s">
        <v>17</v>
      </c>
      <c r="C273" t="s">
        <v>18</v>
      </c>
      <c r="D273" t="s">
        <v>14</v>
      </c>
      <c r="E273" t="s">
        <v>15</v>
      </c>
      <c r="F273" s="5" t="s">
        <v>293</v>
      </c>
      <c r="G273">
        <v>27</v>
      </c>
      <c r="H273">
        <v>58</v>
      </c>
      <c r="I273">
        <v>49</v>
      </c>
      <c r="J273">
        <v>42</v>
      </c>
      <c r="K273">
        <f t="shared" si="4"/>
        <v>53.5</v>
      </c>
    </row>
    <row r="274" spans="1:11">
      <c r="A274" t="s">
        <v>11</v>
      </c>
      <c r="B274" t="s">
        <v>38</v>
      </c>
      <c r="C274" t="s">
        <v>26</v>
      </c>
      <c r="D274" t="s">
        <v>27</v>
      </c>
      <c r="E274" t="s">
        <v>15</v>
      </c>
      <c r="F274" s="5" t="s">
        <v>294</v>
      </c>
      <c r="G274">
        <v>15</v>
      </c>
      <c r="H274">
        <v>47</v>
      </c>
      <c r="I274">
        <v>53</v>
      </c>
      <c r="J274">
        <v>58</v>
      </c>
      <c r="K274">
        <f t="shared" si="4"/>
        <v>50</v>
      </c>
    </row>
    <row r="275" spans="1:11">
      <c r="A275" t="s">
        <v>11</v>
      </c>
      <c r="B275" t="s">
        <v>38</v>
      </c>
      <c r="C275" t="s">
        <v>18</v>
      </c>
      <c r="D275" t="s">
        <v>14</v>
      </c>
      <c r="E275" t="s">
        <v>15</v>
      </c>
      <c r="F275" s="5" t="s">
        <v>295</v>
      </c>
      <c r="G275">
        <v>24</v>
      </c>
      <c r="H275">
        <v>65</v>
      </c>
      <c r="I275">
        <v>70</v>
      </c>
      <c r="J275">
        <v>71</v>
      </c>
      <c r="K275">
        <f t="shared" si="4"/>
        <v>67.5</v>
      </c>
    </row>
    <row r="276" spans="1:11">
      <c r="A276" t="s">
        <v>24</v>
      </c>
      <c r="B276" t="s">
        <v>12</v>
      </c>
      <c r="C276" t="s">
        <v>18</v>
      </c>
      <c r="D276" t="s">
        <v>14</v>
      </c>
      <c r="E276" t="s">
        <v>19</v>
      </c>
      <c r="F276" s="5" t="s">
        <v>296</v>
      </c>
      <c r="G276">
        <v>5</v>
      </c>
      <c r="H276">
        <v>88</v>
      </c>
      <c r="I276">
        <v>85</v>
      </c>
      <c r="J276">
        <v>76</v>
      </c>
      <c r="K276">
        <f t="shared" si="4"/>
        <v>86.5</v>
      </c>
    </row>
    <row r="277" spans="1:11">
      <c r="A277" t="s">
        <v>24</v>
      </c>
      <c r="B277" t="s">
        <v>17</v>
      </c>
      <c r="C277" t="s">
        <v>13</v>
      </c>
      <c r="D277" t="s">
        <v>14</v>
      </c>
      <c r="E277" t="s">
        <v>15</v>
      </c>
      <c r="F277">
        <v>9.2206713619999991</v>
      </c>
      <c r="G277">
        <v>4</v>
      </c>
      <c r="H277">
        <v>83</v>
      </c>
      <c r="I277">
        <v>78</v>
      </c>
      <c r="J277">
        <v>73</v>
      </c>
      <c r="K277">
        <f t="shared" si="4"/>
        <v>80.5</v>
      </c>
    </row>
    <row r="278" spans="1:11">
      <c r="A278" t="s">
        <v>11</v>
      </c>
      <c r="B278" t="s">
        <v>17</v>
      </c>
      <c r="C278" t="s">
        <v>50</v>
      </c>
      <c r="D278" t="s">
        <v>14</v>
      </c>
      <c r="E278" t="s">
        <v>19</v>
      </c>
      <c r="F278" s="5" t="s">
        <v>297</v>
      </c>
      <c r="G278">
        <v>25</v>
      </c>
      <c r="H278">
        <v>85</v>
      </c>
      <c r="I278">
        <v>92</v>
      </c>
      <c r="J278">
        <v>93</v>
      </c>
      <c r="K278">
        <f t="shared" si="4"/>
        <v>88.5</v>
      </c>
    </row>
    <row r="279" spans="1:11">
      <c r="A279" t="s">
        <v>11</v>
      </c>
      <c r="B279" t="s">
        <v>69</v>
      </c>
      <c r="C279" t="s">
        <v>39</v>
      </c>
      <c r="D279" t="s">
        <v>14</v>
      </c>
      <c r="E279" t="s">
        <v>19</v>
      </c>
      <c r="F279" s="5" t="s">
        <v>298</v>
      </c>
      <c r="G279">
        <v>16</v>
      </c>
      <c r="H279">
        <v>59</v>
      </c>
      <c r="I279">
        <v>63</v>
      </c>
      <c r="J279">
        <v>75</v>
      </c>
      <c r="K279">
        <f t="shared" si="4"/>
        <v>61</v>
      </c>
    </row>
    <row r="280" spans="1:11">
      <c r="A280" t="s">
        <v>11</v>
      </c>
      <c r="B280" t="s">
        <v>17</v>
      </c>
      <c r="C280" t="s">
        <v>50</v>
      </c>
      <c r="D280" t="s">
        <v>27</v>
      </c>
      <c r="E280" t="s">
        <v>15</v>
      </c>
      <c r="F280" s="5" t="s">
        <v>299</v>
      </c>
      <c r="G280">
        <v>27</v>
      </c>
      <c r="H280">
        <v>65</v>
      </c>
      <c r="I280">
        <v>86</v>
      </c>
      <c r="J280">
        <v>80</v>
      </c>
      <c r="K280">
        <f t="shared" si="4"/>
        <v>75.5</v>
      </c>
    </row>
    <row r="281" spans="1:11">
      <c r="A281" t="s">
        <v>24</v>
      </c>
      <c r="B281" t="s">
        <v>12</v>
      </c>
      <c r="C281" t="s">
        <v>13</v>
      </c>
      <c r="D281" t="s">
        <v>27</v>
      </c>
      <c r="E281" t="s">
        <v>15</v>
      </c>
      <c r="F281" s="5" t="s">
        <v>300</v>
      </c>
      <c r="G281">
        <v>20</v>
      </c>
      <c r="H281">
        <v>73</v>
      </c>
      <c r="I281">
        <v>56</v>
      </c>
      <c r="J281">
        <v>57</v>
      </c>
      <c r="K281">
        <f t="shared" si="4"/>
        <v>64.5</v>
      </c>
    </row>
    <row r="282" spans="1:11">
      <c r="A282" t="s">
        <v>24</v>
      </c>
      <c r="B282" t="s">
        <v>38</v>
      </c>
      <c r="C282" t="s">
        <v>39</v>
      </c>
      <c r="D282" t="s">
        <v>14</v>
      </c>
      <c r="E282" t="s">
        <v>15</v>
      </c>
      <c r="F282" s="5" t="s">
        <v>301</v>
      </c>
      <c r="G282">
        <v>15</v>
      </c>
      <c r="H282">
        <v>53</v>
      </c>
      <c r="I282">
        <v>52</v>
      </c>
      <c r="J282">
        <v>42</v>
      </c>
      <c r="K282">
        <f t="shared" si="4"/>
        <v>52.5</v>
      </c>
    </row>
    <row r="283" spans="1:11">
      <c r="A283" t="s">
        <v>24</v>
      </c>
      <c r="B283" t="s">
        <v>38</v>
      </c>
      <c r="C283" t="s">
        <v>39</v>
      </c>
      <c r="D283" t="s">
        <v>14</v>
      </c>
      <c r="E283" t="s">
        <v>15</v>
      </c>
      <c r="F283">
        <v>9.2491363409999998</v>
      </c>
      <c r="G283">
        <v>11</v>
      </c>
      <c r="H283">
        <v>45</v>
      </c>
      <c r="I283">
        <v>48</v>
      </c>
      <c r="J283">
        <v>46</v>
      </c>
      <c r="K283">
        <f t="shared" si="4"/>
        <v>46.5</v>
      </c>
    </row>
    <row r="284" spans="1:11">
      <c r="A284" t="s">
        <v>11</v>
      </c>
      <c r="B284" t="s">
        <v>38</v>
      </c>
      <c r="C284" t="s">
        <v>13</v>
      </c>
      <c r="D284" t="s">
        <v>27</v>
      </c>
      <c r="E284" t="s">
        <v>15</v>
      </c>
      <c r="F284" s="5" t="s">
        <v>302</v>
      </c>
      <c r="G284">
        <v>28</v>
      </c>
      <c r="H284">
        <v>73</v>
      </c>
      <c r="I284">
        <v>79</v>
      </c>
      <c r="J284">
        <v>84</v>
      </c>
      <c r="K284">
        <f t="shared" si="4"/>
        <v>76</v>
      </c>
    </row>
    <row r="285" spans="1:11">
      <c r="A285" t="s">
        <v>11</v>
      </c>
      <c r="B285" t="s">
        <v>38</v>
      </c>
      <c r="C285" t="s">
        <v>18</v>
      </c>
      <c r="D285" t="s">
        <v>27</v>
      </c>
      <c r="E285" t="s">
        <v>19</v>
      </c>
      <c r="F285" s="5" t="s">
        <v>303</v>
      </c>
      <c r="G285">
        <v>5</v>
      </c>
      <c r="H285">
        <v>70</v>
      </c>
      <c r="I285">
        <v>78</v>
      </c>
      <c r="J285">
        <v>78</v>
      </c>
      <c r="K285">
        <f t="shared" si="4"/>
        <v>74</v>
      </c>
    </row>
    <row r="286" spans="1:11">
      <c r="A286" t="s">
        <v>11</v>
      </c>
      <c r="B286" t="s">
        <v>12</v>
      </c>
      <c r="C286" t="s">
        <v>50</v>
      </c>
      <c r="D286" t="s">
        <v>14</v>
      </c>
      <c r="E286" t="s">
        <v>15</v>
      </c>
      <c r="F286" s="5" t="s">
        <v>304</v>
      </c>
      <c r="G286">
        <v>20</v>
      </c>
      <c r="H286">
        <v>37</v>
      </c>
      <c r="I286">
        <v>46</v>
      </c>
      <c r="J286">
        <v>46</v>
      </c>
      <c r="K286">
        <f t="shared" si="4"/>
        <v>41.5</v>
      </c>
    </row>
    <row r="287" spans="1:11">
      <c r="A287" t="s">
        <v>24</v>
      </c>
      <c r="B287" t="s">
        <v>12</v>
      </c>
      <c r="C287" t="s">
        <v>26</v>
      </c>
      <c r="D287" t="s">
        <v>14</v>
      </c>
      <c r="E287" t="s">
        <v>19</v>
      </c>
      <c r="F287" s="5" t="s">
        <v>305</v>
      </c>
      <c r="G287">
        <v>19</v>
      </c>
      <c r="H287">
        <v>81</v>
      </c>
      <c r="I287">
        <v>82</v>
      </c>
      <c r="J287">
        <v>82</v>
      </c>
      <c r="K287">
        <f t="shared" si="4"/>
        <v>81.5</v>
      </c>
    </row>
    <row r="288" spans="1:11">
      <c r="A288" t="s">
        <v>24</v>
      </c>
      <c r="B288" t="s">
        <v>69</v>
      </c>
      <c r="C288" t="s">
        <v>26</v>
      </c>
      <c r="D288" t="s">
        <v>14</v>
      </c>
      <c r="E288" t="s">
        <v>19</v>
      </c>
      <c r="F288" s="5" t="s">
        <v>306</v>
      </c>
      <c r="G288">
        <v>14</v>
      </c>
      <c r="H288">
        <v>97</v>
      </c>
      <c r="I288">
        <v>82</v>
      </c>
      <c r="J288">
        <v>88</v>
      </c>
      <c r="K288">
        <f t="shared" si="4"/>
        <v>89.5</v>
      </c>
    </row>
    <row r="289" spans="1:11">
      <c r="A289" t="s">
        <v>11</v>
      </c>
      <c r="B289" t="s">
        <v>12</v>
      </c>
      <c r="C289" t="s">
        <v>50</v>
      </c>
      <c r="D289" t="s">
        <v>14</v>
      </c>
      <c r="E289" t="s">
        <v>15</v>
      </c>
      <c r="F289" s="5" t="s">
        <v>307</v>
      </c>
      <c r="G289">
        <v>2</v>
      </c>
      <c r="H289">
        <v>67</v>
      </c>
      <c r="I289">
        <v>89</v>
      </c>
      <c r="J289">
        <v>82</v>
      </c>
      <c r="K289">
        <f t="shared" si="4"/>
        <v>78</v>
      </c>
    </row>
    <row r="290" spans="1:11">
      <c r="A290" t="s">
        <v>24</v>
      </c>
      <c r="B290" t="s">
        <v>12</v>
      </c>
      <c r="C290" t="s">
        <v>13</v>
      </c>
      <c r="D290" t="s">
        <v>27</v>
      </c>
      <c r="E290" t="s">
        <v>15</v>
      </c>
      <c r="F290">
        <v>8.2282186349999993</v>
      </c>
      <c r="G290">
        <v>12</v>
      </c>
      <c r="H290">
        <v>88</v>
      </c>
      <c r="I290">
        <v>75</v>
      </c>
      <c r="J290">
        <v>76</v>
      </c>
      <c r="K290">
        <f t="shared" si="4"/>
        <v>81.5</v>
      </c>
    </row>
    <row r="291" spans="1:11">
      <c r="A291" t="s">
        <v>24</v>
      </c>
      <c r="B291" t="s">
        <v>69</v>
      </c>
      <c r="C291" t="s">
        <v>50</v>
      </c>
      <c r="D291" t="s">
        <v>14</v>
      </c>
      <c r="E291" t="s">
        <v>19</v>
      </c>
      <c r="F291" s="5" t="s">
        <v>308</v>
      </c>
      <c r="G291">
        <v>14</v>
      </c>
      <c r="H291">
        <v>77</v>
      </c>
      <c r="I291">
        <v>76</v>
      </c>
      <c r="J291">
        <v>77</v>
      </c>
      <c r="K291">
        <f t="shared" si="4"/>
        <v>76.5</v>
      </c>
    </row>
    <row r="292" spans="1:11">
      <c r="A292" t="s">
        <v>24</v>
      </c>
      <c r="B292" t="s">
        <v>17</v>
      </c>
      <c r="C292" t="s">
        <v>26</v>
      </c>
      <c r="D292" t="s">
        <v>14</v>
      </c>
      <c r="E292" t="s">
        <v>15</v>
      </c>
      <c r="F292" s="5" t="s">
        <v>309</v>
      </c>
      <c r="G292">
        <v>9</v>
      </c>
      <c r="H292">
        <v>76</v>
      </c>
      <c r="I292">
        <v>70</v>
      </c>
      <c r="J292">
        <v>68</v>
      </c>
      <c r="K292">
        <f t="shared" si="4"/>
        <v>73</v>
      </c>
    </row>
    <row r="293" spans="1:11">
      <c r="A293" t="s">
        <v>24</v>
      </c>
      <c r="B293" t="s">
        <v>38</v>
      </c>
      <c r="C293" t="s">
        <v>50</v>
      </c>
      <c r="D293" t="s">
        <v>14</v>
      </c>
      <c r="E293" t="s">
        <v>15</v>
      </c>
      <c r="F293" s="5" t="s">
        <v>310</v>
      </c>
      <c r="G293">
        <v>21</v>
      </c>
      <c r="H293">
        <v>86</v>
      </c>
      <c r="I293">
        <v>73</v>
      </c>
      <c r="J293">
        <v>70</v>
      </c>
      <c r="K293">
        <f t="shared" si="4"/>
        <v>79.5</v>
      </c>
    </row>
    <row r="294" spans="1:11">
      <c r="A294" t="s">
        <v>24</v>
      </c>
      <c r="B294" t="s">
        <v>17</v>
      </c>
      <c r="C294" t="s">
        <v>50</v>
      </c>
      <c r="D294" t="s">
        <v>14</v>
      </c>
      <c r="E294" t="s">
        <v>19</v>
      </c>
      <c r="F294" s="5" t="s">
        <v>311</v>
      </c>
      <c r="G294">
        <v>23</v>
      </c>
      <c r="H294">
        <v>63</v>
      </c>
      <c r="I294">
        <v>60</v>
      </c>
      <c r="J294">
        <v>57</v>
      </c>
      <c r="K294">
        <f t="shared" si="4"/>
        <v>61.5</v>
      </c>
    </row>
    <row r="295" spans="1:11">
      <c r="A295" t="s">
        <v>11</v>
      </c>
      <c r="B295" t="s">
        <v>69</v>
      </c>
      <c r="C295" t="s">
        <v>13</v>
      </c>
      <c r="D295" t="s">
        <v>14</v>
      </c>
      <c r="E295" t="s">
        <v>15</v>
      </c>
      <c r="F295" s="5" t="s">
        <v>312</v>
      </c>
      <c r="G295">
        <v>2</v>
      </c>
      <c r="H295">
        <v>65</v>
      </c>
      <c r="I295">
        <v>73</v>
      </c>
      <c r="J295">
        <v>75</v>
      </c>
      <c r="K295">
        <f t="shared" si="4"/>
        <v>69</v>
      </c>
    </row>
    <row r="296" spans="1:11">
      <c r="A296" t="s">
        <v>24</v>
      </c>
      <c r="B296" t="s">
        <v>38</v>
      </c>
      <c r="C296" t="s">
        <v>39</v>
      </c>
      <c r="D296" t="s">
        <v>27</v>
      </c>
      <c r="E296" t="s">
        <v>19</v>
      </c>
      <c r="F296" s="5" t="s">
        <v>313</v>
      </c>
      <c r="G296">
        <v>12</v>
      </c>
      <c r="H296">
        <v>78</v>
      </c>
      <c r="I296">
        <v>77</v>
      </c>
      <c r="J296">
        <v>80</v>
      </c>
      <c r="K296">
        <f t="shared" si="4"/>
        <v>77.5</v>
      </c>
    </row>
    <row r="297" spans="1:11">
      <c r="A297" t="s">
        <v>24</v>
      </c>
      <c r="B297" t="s">
        <v>12</v>
      </c>
      <c r="C297" t="s">
        <v>26</v>
      </c>
      <c r="D297" t="s">
        <v>27</v>
      </c>
      <c r="E297" t="s">
        <v>15</v>
      </c>
      <c r="F297" s="5" t="s">
        <v>314</v>
      </c>
      <c r="G297">
        <v>4</v>
      </c>
      <c r="H297">
        <v>67</v>
      </c>
      <c r="I297">
        <v>62</v>
      </c>
      <c r="J297">
        <v>60</v>
      </c>
      <c r="K297">
        <f t="shared" si="4"/>
        <v>64.5</v>
      </c>
    </row>
    <row r="298" spans="1:11">
      <c r="A298" t="s">
        <v>24</v>
      </c>
      <c r="B298" t="s">
        <v>25</v>
      </c>
      <c r="C298" t="s">
        <v>50</v>
      </c>
      <c r="D298" t="s">
        <v>14</v>
      </c>
      <c r="E298" t="s">
        <v>19</v>
      </c>
      <c r="F298" s="5" t="s">
        <v>315</v>
      </c>
      <c r="G298">
        <v>26</v>
      </c>
      <c r="H298">
        <v>46</v>
      </c>
      <c r="I298">
        <v>41</v>
      </c>
      <c r="J298">
        <v>43</v>
      </c>
      <c r="K298">
        <f t="shared" si="4"/>
        <v>43.5</v>
      </c>
    </row>
    <row r="299" spans="1:11">
      <c r="A299" t="s">
        <v>24</v>
      </c>
      <c r="B299" t="s">
        <v>69</v>
      </c>
      <c r="C299" t="s">
        <v>26</v>
      </c>
      <c r="D299" t="s">
        <v>14</v>
      </c>
      <c r="E299" t="s">
        <v>19</v>
      </c>
      <c r="F299" s="5" t="s">
        <v>316</v>
      </c>
      <c r="G299">
        <v>17</v>
      </c>
      <c r="H299">
        <v>71</v>
      </c>
      <c r="I299">
        <v>74</v>
      </c>
      <c r="J299">
        <v>68</v>
      </c>
      <c r="K299">
        <f t="shared" si="4"/>
        <v>72.5</v>
      </c>
    </row>
    <row r="300" spans="1:11">
      <c r="A300" t="s">
        <v>24</v>
      </c>
      <c r="B300" t="s">
        <v>17</v>
      </c>
      <c r="C300" t="s">
        <v>39</v>
      </c>
      <c r="D300" t="s">
        <v>27</v>
      </c>
      <c r="E300" t="s">
        <v>19</v>
      </c>
      <c r="F300" s="5" t="s">
        <v>317</v>
      </c>
      <c r="G300">
        <v>0</v>
      </c>
      <c r="H300">
        <v>40</v>
      </c>
      <c r="I300">
        <v>46</v>
      </c>
      <c r="J300">
        <v>50</v>
      </c>
      <c r="K300">
        <f t="shared" si="4"/>
        <v>43</v>
      </c>
    </row>
    <row r="301" spans="1:11">
      <c r="A301" t="s">
        <v>24</v>
      </c>
      <c r="B301" t="s">
        <v>38</v>
      </c>
      <c r="C301" t="s">
        <v>26</v>
      </c>
      <c r="D301" t="s">
        <v>27</v>
      </c>
      <c r="E301" t="s">
        <v>15</v>
      </c>
      <c r="F301" s="5" t="s">
        <v>318</v>
      </c>
      <c r="G301">
        <v>5</v>
      </c>
      <c r="H301">
        <v>90</v>
      </c>
      <c r="I301">
        <v>87</v>
      </c>
      <c r="J301">
        <v>75</v>
      </c>
      <c r="K301">
        <f t="shared" si="4"/>
        <v>88.5</v>
      </c>
    </row>
    <row r="302" spans="1:11">
      <c r="A302" t="s">
        <v>24</v>
      </c>
      <c r="B302" t="s">
        <v>25</v>
      </c>
      <c r="C302" t="s">
        <v>18</v>
      </c>
      <c r="D302" t="s">
        <v>27</v>
      </c>
      <c r="E302" t="s">
        <v>19</v>
      </c>
      <c r="F302">
        <v>3.5725775350000002</v>
      </c>
      <c r="G302">
        <v>14</v>
      </c>
      <c r="H302">
        <v>81</v>
      </c>
      <c r="I302">
        <v>78</v>
      </c>
      <c r="J302">
        <v>81</v>
      </c>
      <c r="K302">
        <f t="shared" si="4"/>
        <v>79.5</v>
      </c>
    </row>
    <row r="303" spans="1:11">
      <c r="A303" t="s">
        <v>24</v>
      </c>
      <c r="B303" t="s">
        <v>38</v>
      </c>
      <c r="C303" t="s">
        <v>50</v>
      </c>
      <c r="D303" t="s">
        <v>27</v>
      </c>
      <c r="E303" t="s">
        <v>15</v>
      </c>
      <c r="F303" s="5" t="s">
        <v>319</v>
      </c>
      <c r="G303">
        <v>27</v>
      </c>
      <c r="H303">
        <v>56</v>
      </c>
      <c r="I303">
        <v>54</v>
      </c>
      <c r="J303">
        <v>52</v>
      </c>
      <c r="K303">
        <f t="shared" si="4"/>
        <v>55</v>
      </c>
    </row>
    <row r="304" spans="1:11">
      <c r="A304" t="s">
        <v>11</v>
      </c>
      <c r="B304" t="s">
        <v>17</v>
      </c>
      <c r="C304" t="s">
        <v>26</v>
      </c>
      <c r="D304" t="s">
        <v>14</v>
      </c>
      <c r="E304" t="s">
        <v>19</v>
      </c>
      <c r="F304" s="5" t="s">
        <v>320</v>
      </c>
      <c r="G304">
        <v>8</v>
      </c>
      <c r="H304">
        <v>67</v>
      </c>
      <c r="I304">
        <v>84</v>
      </c>
      <c r="J304">
        <v>81</v>
      </c>
      <c r="K304">
        <f t="shared" si="4"/>
        <v>75.5</v>
      </c>
    </row>
    <row r="305" spans="1:11">
      <c r="A305" t="s">
        <v>24</v>
      </c>
      <c r="B305" t="s">
        <v>12</v>
      </c>
      <c r="C305" t="s">
        <v>26</v>
      </c>
      <c r="D305" t="s">
        <v>14</v>
      </c>
      <c r="E305" t="s">
        <v>15</v>
      </c>
      <c r="F305" s="5" t="s">
        <v>321</v>
      </c>
      <c r="G305">
        <v>9</v>
      </c>
      <c r="H305">
        <v>80</v>
      </c>
      <c r="I305">
        <v>76</v>
      </c>
      <c r="J305">
        <v>64</v>
      </c>
      <c r="K305">
        <f t="shared" si="4"/>
        <v>78</v>
      </c>
    </row>
    <row r="306" spans="1:11">
      <c r="A306" t="s">
        <v>11</v>
      </c>
      <c r="B306" t="s">
        <v>17</v>
      </c>
      <c r="C306" t="s">
        <v>26</v>
      </c>
      <c r="D306" t="s">
        <v>14</v>
      </c>
      <c r="E306" t="s">
        <v>19</v>
      </c>
      <c r="F306" s="5" t="s">
        <v>322</v>
      </c>
      <c r="G306">
        <v>16</v>
      </c>
      <c r="H306">
        <v>74</v>
      </c>
      <c r="I306">
        <v>75</v>
      </c>
      <c r="J306">
        <v>83</v>
      </c>
      <c r="K306">
        <f t="shared" si="4"/>
        <v>74.5</v>
      </c>
    </row>
    <row r="307" spans="1:11">
      <c r="A307" t="s">
        <v>24</v>
      </c>
      <c r="B307" t="s">
        <v>25</v>
      </c>
      <c r="C307" t="s">
        <v>18</v>
      </c>
      <c r="D307" t="s">
        <v>14</v>
      </c>
      <c r="E307" t="s">
        <v>15</v>
      </c>
      <c r="F307" s="5" t="s">
        <v>323</v>
      </c>
      <c r="G307">
        <v>22</v>
      </c>
      <c r="H307">
        <v>69</v>
      </c>
      <c r="I307">
        <v>67</v>
      </c>
      <c r="J307">
        <v>69</v>
      </c>
      <c r="K307">
        <f t="shared" si="4"/>
        <v>68</v>
      </c>
    </row>
    <row r="308" spans="1:11">
      <c r="A308" t="s">
        <v>24</v>
      </c>
      <c r="B308" t="s">
        <v>69</v>
      </c>
      <c r="C308" t="s">
        <v>18</v>
      </c>
      <c r="D308" t="s">
        <v>14</v>
      </c>
      <c r="E308" t="s">
        <v>19</v>
      </c>
      <c r="F308" s="5" t="s">
        <v>324</v>
      </c>
      <c r="G308">
        <v>24</v>
      </c>
      <c r="H308">
        <v>99</v>
      </c>
      <c r="I308">
        <v>87</v>
      </c>
      <c r="J308">
        <v>81</v>
      </c>
      <c r="K308">
        <f t="shared" si="4"/>
        <v>93</v>
      </c>
    </row>
    <row r="309" spans="1:11">
      <c r="A309" t="s">
        <v>24</v>
      </c>
      <c r="B309" t="s">
        <v>17</v>
      </c>
      <c r="C309" t="s">
        <v>50</v>
      </c>
      <c r="D309" t="s">
        <v>14</v>
      </c>
      <c r="E309" t="s">
        <v>15</v>
      </c>
      <c r="F309" s="5" t="s">
        <v>325</v>
      </c>
      <c r="G309">
        <v>19</v>
      </c>
      <c r="H309">
        <v>51</v>
      </c>
      <c r="I309">
        <v>52</v>
      </c>
      <c r="J309">
        <v>44</v>
      </c>
      <c r="K309">
        <f t="shared" si="4"/>
        <v>51.5</v>
      </c>
    </row>
    <row r="310" spans="1:11">
      <c r="A310" t="s">
        <v>11</v>
      </c>
      <c r="B310" t="s">
        <v>12</v>
      </c>
      <c r="C310" t="s">
        <v>26</v>
      </c>
      <c r="D310" t="s">
        <v>27</v>
      </c>
      <c r="E310" t="s">
        <v>15</v>
      </c>
      <c r="F310" s="5" t="s">
        <v>326</v>
      </c>
      <c r="G310">
        <v>2</v>
      </c>
      <c r="H310">
        <v>53</v>
      </c>
      <c r="I310">
        <v>71</v>
      </c>
      <c r="J310">
        <v>67</v>
      </c>
      <c r="K310">
        <f t="shared" si="4"/>
        <v>62</v>
      </c>
    </row>
    <row r="311" spans="1:11">
      <c r="A311" t="s">
        <v>11</v>
      </c>
      <c r="B311" t="s">
        <v>38</v>
      </c>
      <c r="C311" t="s">
        <v>39</v>
      </c>
      <c r="D311" t="s">
        <v>27</v>
      </c>
      <c r="E311" t="s">
        <v>15</v>
      </c>
      <c r="F311" s="5" t="s">
        <v>327</v>
      </c>
      <c r="G311">
        <v>25</v>
      </c>
      <c r="H311">
        <v>49</v>
      </c>
      <c r="I311">
        <v>57</v>
      </c>
      <c r="J311">
        <v>52</v>
      </c>
      <c r="K311">
        <f t="shared" si="4"/>
        <v>53</v>
      </c>
    </row>
    <row r="312" spans="1:11">
      <c r="A312" t="s">
        <v>11</v>
      </c>
      <c r="B312" t="s">
        <v>12</v>
      </c>
      <c r="C312" t="s">
        <v>26</v>
      </c>
      <c r="D312" t="s">
        <v>14</v>
      </c>
      <c r="E312" t="s">
        <v>15</v>
      </c>
      <c r="F312" s="5" t="s">
        <v>328</v>
      </c>
      <c r="G312">
        <v>24</v>
      </c>
      <c r="H312">
        <v>73</v>
      </c>
      <c r="I312">
        <v>76</v>
      </c>
      <c r="J312">
        <v>80</v>
      </c>
      <c r="K312">
        <f t="shared" si="4"/>
        <v>74.5</v>
      </c>
    </row>
    <row r="313" spans="1:11">
      <c r="A313" t="s">
        <v>24</v>
      </c>
      <c r="B313" t="s">
        <v>12</v>
      </c>
      <c r="C313" t="s">
        <v>13</v>
      </c>
      <c r="D313" t="s">
        <v>14</v>
      </c>
      <c r="E313" t="s">
        <v>15</v>
      </c>
      <c r="F313" s="5" t="s">
        <v>329</v>
      </c>
      <c r="G313">
        <v>14</v>
      </c>
      <c r="H313">
        <v>66</v>
      </c>
      <c r="I313">
        <v>60</v>
      </c>
      <c r="J313">
        <v>57</v>
      </c>
      <c r="K313">
        <f t="shared" si="4"/>
        <v>63</v>
      </c>
    </row>
    <row r="314" spans="1:11">
      <c r="A314" t="s">
        <v>24</v>
      </c>
      <c r="B314" t="s">
        <v>38</v>
      </c>
      <c r="C314" t="s">
        <v>13</v>
      </c>
      <c r="D314" t="s">
        <v>14</v>
      </c>
      <c r="E314" t="s">
        <v>19</v>
      </c>
      <c r="F314" s="5" t="s">
        <v>330</v>
      </c>
      <c r="G314">
        <v>23</v>
      </c>
      <c r="H314">
        <v>67</v>
      </c>
      <c r="I314">
        <v>61</v>
      </c>
      <c r="J314">
        <v>68</v>
      </c>
      <c r="K314">
        <f t="shared" si="4"/>
        <v>64</v>
      </c>
    </row>
    <row r="315" spans="1:11">
      <c r="A315" t="s">
        <v>11</v>
      </c>
      <c r="B315" t="s">
        <v>17</v>
      </c>
      <c r="C315" t="s">
        <v>26</v>
      </c>
      <c r="D315" t="s">
        <v>27</v>
      </c>
      <c r="E315" t="s">
        <v>19</v>
      </c>
      <c r="F315" s="5" t="s">
        <v>331</v>
      </c>
      <c r="G315">
        <v>27</v>
      </c>
      <c r="H315">
        <v>68</v>
      </c>
      <c r="I315">
        <v>67</v>
      </c>
      <c r="J315">
        <v>69</v>
      </c>
      <c r="K315">
        <f t="shared" si="4"/>
        <v>67.5</v>
      </c>
    </row>
    <row r="316" spans="1:11">
      <c r="A316" t="s">
        <v>11</v>
      </c>
      <c r="B316" t="s">
        <v>17</v>
      </c>
      <c r="C316" t="s">
        <v>13</v>
      </c>
      <c r="D316" t="s">
        <v>14</v>
      </c>
      <c r="E316" t="s">
        <v>19</v>
      </c>
      <c r="F316" s="5" t="s">
        <v>332</v>
      </c>
      <c r="G316">
        <v>23</v>
      </c>
      <c r="H316">
        <v>59</v>
      </c>
      <c r="I316">
        <v>64</v>
      </c>
      <c r="J316">
        <v>75</v>
      </c>
      <c r="K316">
        <f t="shared" si="4"/>
        <v>61.5</v>
      </c>
    </row>
    <row r="317" spans="1:11">
      <c r="A317" t="s">
        <v>24</v>
      </c>
      <c r="B317" t="s">
        <v>17</v>
      </c>
      <c r="C317" t="s">
        <v>39</v>
      </c>
      <c r="D317" t="s">
        <v>14</v>
      </c>
      <c r="E317" t="s">
        <v>15</v>
      </c>
      <c r="F317" s="5" t="s">
        <v>333</v>
      </c>
      <c r="G317">
        <v>15</v>
      </c>
      <c r="H317">
        <v>71</v>
      </c>
      <c r="I317">
        <v>66</v>
      </c>
      <c r="J317">
        <v>65</v>
      </c>
      <c r="K317">
        <f t="shared" si="4"/>
        <v>68.5</v>
      </c>
    </row>
    <row r="318" spans="1:11">
      <c r="A318" t="s">
        <v>11</v>
      </c>
      <c r="B318" t="s">
        <v>38</v>
      </c>
      <c r="C318" t="s">
        <v>22</v>
      </c>
      <c r="D318" t="s">
        <v>14</v>
      </c>
      <c r="E318" t="s">
        <v>19</v>
      </c>
      <c r="F318" s="5" t="s">
        <v>334</v>
      </c>
      <c r="G318">
        <v>13</v>
      </c>
      <c r="H318">
        <v>77</v>
      </c>
      <c r="I318">
        <v>82</v>
      </c>
      <c r="J318">
        <v>91</v>
      </c>
      <c r="K318">
        <f t="shared" si="4"/>
        <v>79.5</v>
      </c>
    </row>
    <row r="319" spans="1:11">
      <c r="A319" t="s">
        <v>24</v>
      </c>
      <c r="B319" t="s">
        <v>17</v>
      </c>
      <c r="C319" t="s">
        <v>26</v>
      </c>
      <c r="D319" t="s">
        <v>14</v>
      </c>
      <c r="E319" t="s">
        <v>15</v>
      </c>
      <c r="F319" s="5" t="s">
        <v>335</v>
      </c>
      <c r="G319">
        <v>13</v>
      </c>
      <c r="H319">
        <v>83</v>
      </c>
      <c r="I319">
        <v>72</v>
      </c>
      <c r="J319">
        <v>78</v>
      </c>
      <c r="K319">
        <f t="shared" si="4"/>
        <v>77.5</v>
      </c>
    </row>
    <row r="320" spans="1:11">
      <c r="A320" t="s">
        <v>24</v>
      </c>
      <c r="B320" t="s">
        <v>12</v>
      </c>
      <c r="C320" t="s">
        <v>13</v>
      </c>
      <c r="D320" t="s">
        <v>14</v>
      </c>
      <c r="E320" t="s">
        <v>15</v>
      </c>
      <c r="F320" s="5" t="s">
        <v>336</v>
      </c>
      <c r="G320">
        <v>11</v>
      </c>
      <c r="H320">
        <v>63</v>
      </c>
      <c r="I320">
        <v>71</v>
      </c>
      <c r="J320">
        <v>69</v>
      </c>
      <c r="K320">
        <f t="shared" si="4"/>
        <v>67</v>
      </c>
    </row>
    <row r="321" spans="1:11">
      <c r="A321" t="s">
        <v>11</v>
      </c>
      <c r="B321" t="s">
        <v>38</v>
      </c>
      <c r="C321" t="s">
        <v>26</v>
      </c>
      <c r="D321" t="s">
        <v>27</v>
      </c>
      <c r="E321" t="s">
        <v>15</v>
      </c>
      <c r="F321" s="5" t="s">
        <v>337</v>
      </c>
      <c r="G321">
        <v>11</v>
      </c>
      <c r="H321">
        <v>56</v>
      </c>
      <c r="I321">
        <v>65</v>
      </c>
      <c r="J321">
        <v>63</v>
      </c>
      <c r="K321">
        <f t="shared" si="4"/>
        <v>60.5</v>
      </c>
    </row>
    <row r="322" spans="1:11">
      <c r="A322" t="s">
        <v>11</v>
      </c>
      <c r="B322" t="s">
        <v>17</v>
      </c>
      <c r="C322" t="s">
        <v>39</v>
      </c>
      <c r="D322" t="s">
        <v>27</v>
      </c>
      <c r="E322" t="s">
        <v>19</v>
      </c>
      <c r="F322" s="5" t="s">
        <v>338</v>
      </c>
      <c r="G322">
        <v>20</v>
      </c>
      <c r="H322">
        <v>67</v>
      </c>
      <c r="I322">
        <v>79</v>
      </c>
      <c r="J322">
        <v>84</v>
      </c>
      <c r="K322">
        <f t="shared" si="4"/>
        <v>73</v>
      </c>
    </row>
    <row r="323" spans="1:11">
      <c r="A323" t="s">
        <v>11</v>
      </c>
      <c r="B323" t="s">
        <v>69</v>
      </c>
      <c r="C323" t="s">
        <v>39</v>
      </c>
      <c r="D323" t="s">
        <v>14</v>
      </c>
      <c r="E323" t="s">
        <v>15</v>
      </c>
      <c r="F323" s="5" t="s">
        <v>339</v>
      </c>
      <c r="G323">
        <v>19</v>
      </c>
      <c r="H323">
        <v>75</v>
      </c>
      <c r="I323">
        <v>86</v>
      </c>
      <c r="J323">
        <v>79</v>
      </c>
      <c r="K323">
        <f t="shared" ref="K323:K386" si="5">(H323+I323)/2</f>
        <v>80.5</v>
      </c>
    </row>
    <row r="324" spans="1:11">
      <c r="A324" t="s">
        <v>11</v>
      </c>
      <c r="B324" t="s">
        <v>17</v>
      </c>
      <c r="C324" t="s">
        <v>18</v>
      </c>
      <c r="D324" t="s">
        <v>14</v>
      </c>
      <c r="E324" t="s">
        <v>15</v>
      </c>
      <c r="F324" s="5" t="s">
        <v>340</v>
      </c>
      <c r="G324">
        <v>29</v>
      </c>
      <c r="H324">
        <v>71</v>
      </c>
      <c r="I324">
        <v>81</v>
      </c>
      <c r="J324">
        <v>80</v>
      </c>
      <c r="K324">
        <f t="shared" si="5"/>
        <v>76</v>
      </c>
    </row>
    <row r="325" spans="1:11">
      <c r="A325" t="s">
        <v>11</v>
      </c>
      <c r="B325" t="s">
        <v>17</v>
      </c>
      <c r="C325" t="s">
        <v>50</v>
      </c>
      <c r="D325" t="s">
        <v>27</v>
      </c>
      <c r="E325" t="s">
        <v>15</v>
      </c>
      <c r="F325" s="5" t="s">
        <v>341</v>
      </c>
      <c r="G325">
        <v>17</v>
      </c>
      <c r="H325">
        <v>43</v>
      </c>
      <c r="I325">
        <v>53</v>
      </c>
      <c r="J325">
        <v>53</v>
      </c>
      <c r="K325">
        <f t="shared" si="5"/>
        <v>48</v>
      </c>
    </row>
    <row r="326" spans="1:11">
      <c r="A326" t="s">
        <v>11</v>
      </c>
      <c r="B326" t="s">
        <v>17</v>
      </c>
      <c r="C326" t="s">
        <v>39</v>
      </c>
      <c r="D326" t="s">
        <v>27</v>
      </c>
      <c r="E326" t="s">
        <v>15</v>
      </c>
      <c r="F326" s="5" t="s">
        <v>342</v>
      </c>
      <c r="G326">
        <v>23</v>
      </c>
      <c r="H326">
        <v>41</v>
      </c>
      <c r="I326">
        <v>46</v>
      </c>
      <c r="J326">
        <v>43</v>
      </c>
      <c r="K326">
        <f t="shared" si="5"/>
        <v>43.5</v>
      </c>
    </row>
    <row r="327" spans="1:11">
      <c r="A327" t="s">
        <v>11</v>
      </c>
      <c r="B327" t="s">
        <v>17</v>
      </c>
      <c r="C327" t="s">
        <v>18</v>
      </c>
      <c r="D327" t="s">
        <v>14</v>
      </c>
      <c r="E327" t="s">
        <v>15</v>
      </c>
      <c r="F327" s="5" t="s">
        <v>343</v>
      </c>
      <c r="G327">
        <v>22</v>
      </c>
      <c r="H327">
        <v>82</v>
      </c>
      <c r="I327">
        <v>90</v>
      </c>
      <c r="J327">
        <v>94</v>
      </c>
      <c r="K327">
        <f t="shared" si="5"/>
        <v>86</v>
      </c>
    </row>
    <row r="328" spans="1:11">
      <c r="A328" t="s">
        <v>24</v>
      </c>
      <c r="B328" t="s">
        <v>17</v>
      </c>
      <c r="C328" t="s">
        <v>18</v>
      </c>
      <c r="D328" t="s">
        <v>14</v>
      </c>
      <c r="E328" t="s">
        <v>15</v>
      </c>
      <c r="F328" s="5" t="s">
        <v>344</v>
      </c>
      <c r="G328">
        <v>10</v>
      </c>
      <c r="H328">
        <v>61</v>
      </c>
      <c r="I328">
        <v>61</v>
      </c>
      <c r="J328">
        <v>62</v>
      </c>
      <c r="K328">
        <f t="shared" si="5"/>
        <v>61</v>
      </c>
    </row>
    <row r="329" spans="1:11">
      <c r="A329" t="s">
        <v>24</v>
      </c>
      <c r="B329" t="s">
        <v>25</v>
      </c>
      <c r="C329" t="s">
        <v>18</v>
      </c>
      <c r="D329" t="s">
        <v>27</v>
      </c>
      <c r="E329" t="s">
        <v>15</v>
      </c>
      <c r="F329">
        <v>8.0031054570000002</v>
      </c>
      <c r="G329">
        <v>14</v>
      </c>
      <c r="H329">
        <v>28</v>
      </c>
      <c r="I329">
        <v>23</v>
      </c>
      <c r="J329">
        <v>19</v>
      </c>
      <c r="K329">
        <f t="shared" si="5"/>
        <v>25.5</v>
      </c>
    </row>
    <row r="330" spans="1:11">
      <c r="A330" t="s">
        <v>24</v>
      </c>
      <c r="B330" t="s">
        <v>17</v>
      </c>
      <c r="C330" t="s">
        <v>26</v>
      </c>
      <c r="D330" t="s">
        <v>14</v>
      </c>
      <c r="E330" t="s">
        <v>19</v>
      </c>
      <c r="F330" s="5" t="s">
        <v>345</v>
      </c>
      <c r="G330">
        <v>6</v>
      </c>
      <c r="H330">
        <v>82</v>
      </c>
      <c r="I330">
        <v>75</v>
      </c>
      <c r="J330">
        <v>77</v>
      </c>
      <c r="K330">
        <f t="shared" si="5"/>
        <v>78.5</v>
      </c>
    </row>
    <row r="331" spans="1:11">
      <c r="A331" t="s">
        <v>11</v>
      </c>
      <c r="B331" t="s">
        <v>12</v>
      </c>
      <c r="C331" t="s">
        <v>50</v>
      </c>
      <c r="D331" t="s">
        <v>14</v>
      </c>
      <c r="E331" t="s">
        <v>15</v>
      </c>
      <c r="F331" s="5" t="s">
        <v>346</v>
      </c>
      <c r="G331">
        <v>16</v>
      </c>
      <c r="H331">
        <v>41</v>
      </c>
      <c r="I331">
        <v>55</v>
      </c>
      <c r="J331">
        <v>51</v>
      </c>
      <c r="K331">
        <f t="shared" si="5"/>
        <v>48</v>
      </c>
    </row>
    <row r="332" spans="1:11">
      <c r="A332" t="s">
        <v>24</v>
      </c>
      <c r="B332" t="s">
        <v>17</v>
      </c>
      <c r="C332" t="s">
        <v>39</v>
      </c>
      <c r="D332" t="s">
        <v>14</v>
      </c>
      <c r="E332" t="s">
        <v>15</v>
      </c>
      <c r="F332" s="5" t="s">
        <v>347</v>
      </c>
      <c r="G332">
        <v>5</v>
      </c>
      <c r="H332">
        <v>71</v>
      </c>
      <c r="I332">
        <v>60</v>
      </c>
      <c r="J332">
        <v>61</v>
      </c>
      <c r="K332">
        <f t="shared" si="5"/>
        <v>65.5</v>
      </c>
    </row>
    <row r="333" spans="1:11">
      <c r="A333" t="s">
        <v>24</v>
      </c>
      <c r="B333" t="s">
        <v>17</v>
      </c>
      <c r="C333" t="s">
        <v>26</v>
      </c>
      <c r="D333" t="s">
        <v>14</v>
      </c>
      <c r="E333" t="s">
        <v>15</v>
      </c>
      <c r="F333">
        <v>6.3130725400000003</v>
      </c>
      <c r="G333">
        <v>9</v>
      </c>
      <c r="H333">
        <v>47</v>
      </c>
      <c r="I333">
        <v>37</v>
      </c>
      <c r="J333">
        <v>35</v>
      </c>
      <c r="K333">
        <f t="shared" si="5"/>
        <v>42</v>
      </c>
    </row>
    <row r="334" spans="1:11">
      <c r="A334" t="s">
        <v>24</v>
      </c>
      <c r="B334" t="s">
        <v>69</v>
      </c>
      <c r="C334" t="s">
        <v>26</v>
      </c>
      <c r="D334" t="s">
        <v>14</v>
      </c>
      <c r="E334" t="s">
        <v>19</v>
      </c>
      <c r="F334" s="5" t="s">
        <v>348</v>
      </c>
      <c r="G334">
        <v>8</v>
      </c>
      <c r="H334">
        <v>62</v>
      </c>
      <c r="I334">
        <v>56</v>
      </c>
      <c r="J334">
        <v>53</v>
      </c>
      <c r="K334">
        <f t="shared" si="5"/>
        <v>59</v>
      </c>
    </row>
    <row r="335" spans="1:11">
      <c r="A335" t="s">
        <v>24</v>
      </c>
      <c r="B335" t="s">
        <v>12</v>
      </c>
      <c r="C335" t="s">
        <v>26</v>
      </c>
      <c r="D335" t="s">
        <v>14</v>
      </c>
      <c r="E335" t="s">
        <v>15</v>
      </c>
      <c r="F335" s="5" t="s">
        <v>349</v>
      </c>
      <c r="G335">
        <v>2</v>
      </c>
      <c r="H335">
        <v>90</v>
      </c>
      <c r="I335">
        <v>78</v>
      </c>
      <c r="J335">
        <v>81</v>
      </c>
      <c r="K335">
        <f t="shared" si="5"/>
        <v>84</v>
      </c>
    </row>
    <row r="336" spans="1:11">
      <c r="A336" t="s">
        <v>11</v>
      </c>
      <c r="B336" t="s">
        <v>17</v>
      </c>
      <c r="C336" t="s">
        <v>13</v>
      </c>
      <c r="D336" t="s">
        <v>14</v>
      </c>
      <c r="E336" t="s">
        <v>15</v>
      </c>
      <c r="F336" s="5" t="s">
        <v>350</v>
      </c>
      <c r="G336">
        <v>5</v>
      </c>
      <c r="H336">
        <v>83</v>
      </c>
      <c r="I336">
        <v>93</v>
      </c>
      <c r="J336">
        <v>95</v>
      </c>
      <c r="K336">
        <f t="shared" si="5"/>
        <v>88</v>
      </c>
    </row>
    <row r="337" spans="1:11">
      <c r="A337" t="s">
        <v>11</v>
      </c>
      <c r="B337" t="s">
        <v>12</v>
      </c>
      <c r="C337" t="s">
        <v>18</v>
      </c>
      <c r="D337" t="s">
        <v>27</v>
      </c>
      <c r="E337" t="s">
        <v>15</v>
      </c>
      <c r="F337" s="5" t="s">
        <v>351</v>
      </c>
      <c r="G337">
        <v>27</v>
      </c>
      <c r="H337">
        <v>61</v>
      </c>
      <c r="I337">
        <v>68</v>
      </c>
      <c r="J337">
        <v>66</v>
      </c>
      <c r="K337">
        <f t="shared" si="5"/>
        <v>64.5</v>
      </c>
    </row>
    <row r="338" spans="1:11">
      <c r="A338" t="s">
        <v>24</v>
      </c>
      <c r="B338" t="s">
        <v>38</v>
      </c>
      <c r="C338" t="s">
        <v>50</v>
      </c>
      <c r="D338" t="s">
        <v>14</v>
      </c>
      <c r="E338" t="s">
        <v>19</v>
      </c>
      <c r="F338" s="5" t="s">
        <v>352</v>
      </c>
      <c r="G338">
        <v>1</v>
      </c>
      <c r="H338">
        <v>76</v>
      </c>
      <c r="I338">
        <v>70</v>
      </c>
      <c r="J338">
        <v>69</v>
      </c>
      <c r="K338">
        <f t="shared" si="5"/>
        <v>73</v>
      </c>
    </row>
    <row r="339" spans="1:11">
      <c r="A339" t="s">
        <v>24</v>
      </c>
      <c r="B339" t="s">
        <v>17</v>
      </c>
      <c r="C339" t="s">
        <v>26</v>
      </c>
      <c r="D339" t="s">
        <v>14</v>
      </c>
      <c r="E339" t="s">
        <v>15</v>
      </c>
      <c r="F339" s="5" t="s">
        <v>353</v>
      </c>
      <c r="G339">
        <v>3</v>
      </c>
      <c r="H339">
        <v>49</v>
      </c>
      <c r="I339">
        <v>51</v>
      </c>
      <c r="J339">
        <v>43</v>
      </c>
      <c r="K339">
        <f t="shared" si="5"/>
        <v>50</v>
      </c>
    </row>
    <row r="340" spans="1:11">
      <c r="A340" t="s">
        <v>11</v>
      </c>
      <c r="B340" t="s">
        <v>12</v>
      </c>
      <c r="C340" t="s">
        <v>50</v>
      </c>
      <c r="D340" t="s">
        <v>27</v>
      </c>
      <c r="E340" t="s">
        <v>15</v>
      </c>
      <c r="F340" s="5" t="s">
        <v>354</v>
      </c>
      <c r="G340">
        <v>24</v>
      </c>
      <c r="H340">
        <v>24</v>
      </c>
      <c r="I340">
        <v>38</v>
      </c>
      <c r="J340">
        <v>27</v>
      </c>
      <c r="K340">
        <f t="shared" si="5"/>
        <v>31</v>
      </c>
    </row>
    <row r="341" spans="1:11">
      <c r="A341" t="s">
        <v>11</v>
      </c>
      <c r="B341" t="s">
        <v>38</v>
      </c>
      <c r="C341" t="s">
        <v>50</v>
      </c>
      <c r="D341" t="s">
        <v>27</v>
      </c>
      <c r="E341" t="s">
        <v>19</v>
      </c>
      <c r="F341" s="5" t="s">
        <v>355</v>
      </c>
      <c r="G341">
        <v>15</v>
      </c>
      <c r="H341">
        <v>35</v>
      </c>
      <c r="I341">
        <v>55</v>
      </c>
      <c r="J341">
        <v>60</v>
      </c>
      <c r="K341">
        <f t="shared" si="5"/>
        <v>45</v>
      </c>
    </row>
    <row r="342" spans="1:11">
      <c r="A342" t="s">
        <v>24</v>
      </c>
      <c r="B342" t="s">
        <v>17</v>
      </c>
      <c r="C342" t="s">
        <v>39</v>
      </c>
      <c r="D342" t="s">
        <v>27</v>
      </c>
      <c r="E342" t="s">
        <v>15</v>
      </c>
      <c r="F342" s="5" t="s">
        <v>356</v>
      </c>
      <c r="G342">
        <v>19</v>
      </c>
      <c r="H342">
        <v>58</v>
      </c>
      <c r="I342">
        <v>61</v>
      </c>
      <c r="J342">
        <v>52</v>
      </c>
      <c r="K342">
        <f t="shared" si="5"/>
        <v>59.5</v>
      </c>
    </row>
    <row r="343" spans="1:11">
      <c r="A343" t="s">
        <v>11</v>
      </c>
      <c r="B343" t="s">
        <v>17</v>
      </c>
      <c r="C343" t="s">
        <v>39</v>
      </c>
      <c r="D343" t="s">
        <v>14</v>
      </c>
      <c r="E343" t="s">
        <v>15</v>
      </c>
      <c r="F343" s="5" t="s">
        <v>357</v>
      </c>
      <c r="G343">
        <v>22</v>
      </c>
      <c r="H343">
        <v>61</v>
      </c>
      <c r="I343">
        <v>73</v>
      </c>
      <c r="J343">
        <v>63</v>
      </c>
      <c r="K343">
        <f t="shared" si="5"/>
        <v>67</v>
      </c>
    </row>
    <row r="344" spans="1:11">
      <c r="A344" t="s">
        <v>11</v>
      </c>
      <c r="B344" t="s">
        <v>12</v>
      </c>
      <c r="C344" t="s">
        <v>39</v>
      </c>
      <c r="D344" t="s">
        <v>14</v>
      </c>
      <c r="E344" t="s">
        <v>19</v>
      </c>
      <c r="F344" s="5" t="s">
        <v>358</v>
      </c>
      <c r="G344">
        <v>14</v>
      </c>
      <c r="H344">
        <v>69</v>
      </c>
      <c r="I344">
        <v>76</v>
      </c>
      <c r="J344">
        <v>74</v>
      </c>
      <c r="K344">
        <f t="shared" si="5"/>
        <v>72.5</v>
      </c>
    </row>
    <row r="345" spans="1:11">
      <c r="A345" t="s">
        <v>24</v>
      </c>
      <c r="B345" t="s">
        <v>38</v>
      </c>
      <c r="C345" t="s">
        <v>26</v>
      </c>
      <c r="D345" t="s">
        <v>14</v>
      </c>
      <c r="E345" t="s">
        <v>19</v>
      </c>
      <c r="F345" s="5" t="s">
        <v>359</v>
      </c>
      <c r="G345">
        <v>15</v>
      </c>
      <c r="H345">
        <v>67</v>
      </c>
      <c r="I345">
        <v>72</v>
      </c>
      <c r="J345">
        <v>67</v>
      </c>
      <c r="K345">
        <f t="shared" si="5"/>
        <v>69.5</v>
      </c>
    </row>
    <row r="346" spans="1:11">
      <c r="A346" t="s">
        <v>24</v>
      </c>
      <c r="B346" t="s">
        <v>38</v>
      </c>
      <c r="C346" t="s">
        <v>18</v>
      </c>
      <c r="D346" t="s">
        <v>14</v>
      </c>
      <c r="E346" t="s">
        <v>15</v>
      </c>
      <c r="F346" s="5" t="s">
        <v>360</v>
      </c>
      <c r="G346">
        <v>22</v>
      </c>
      <c r="H346">
        <v>79</v>
      </c>
      <c r="I346">
        <v>73</v>
      </c>
      <c r="J346">
        <v>67</v>
      </c>
      <c r="K346">
        <f t="shared" si="5"/>
        <v>76</v>
      </c>
    </row>
    <row r="347" spans="1:11">
      <c r="A347" t="s">
        <v>11</v>
      </c>
      <c r="B347" t="s">
        <v>17</v>
      </c>
      <c r="C347" t="s">
        <v>39</v>
      </c>
      <c r="D347" t="s">
        <v>14</v>
      </c>
      <c r="E347" t="s">
        <v>15</v>
      </c>
      <c r="F347">
        <v>6.9593733230000003</v>
      </c>
      <c r="G347">
        <v>17</v>
      </c>
      <c r="H347">
        <v>72</v>
      </c>
      <c r="I347">
        <v>80</v>
      </c>
      <c r="J347">
        <v>75</v>
      </c>
      <c r="K347">
        <f t="shared" si="5"/>
        <v>76</v>
      </c>
    </row>
    <row r="348" spans="1:11">
      <c r="A348" t="s">
        <v>24</v>
      </c>
      <c r="B348" t="s">
        <v>12</v>
      </c>
      <c r="C348" t="s">
        <v>18</v>
      </c>
      <c r="D348" t="s">
        <v>14</v>
      </c>
      <c r="E348" t="s">
        <v>15</v>
      </c>
      <c r="F348" s="5" t="s">
        <v>361</v>
      </c>
      <c r="G348">
        <v>3</v>
      </c>
      <c r="H348">
        <v>62</v>
      </c>
      <c r="I348">
        <v>61</v>
      </c>
      <c r="J348">
        <v>57</v>
      </c>
      <c r="K348">
        <f t="shared" si="5"/>
        <v>61.5</v>
      </c>
    </row>
    <row r="349" spans="1:11">
      <c r="A349" t="s">
        <v>11</v>
      </c>
      <c r="B349" t="s">
        <v>17</v>
      </c>
      <c r="C349" t="s">
        <v>13</v>
      </c>
      <c r="D349" t="s">
        <v>14</v>
      </c>
      <c r="E349" t="s">
        <v>19</v>
      </c>
      <c r="F349" s="5" t="s">
        <v>362</v>
      </c>
      <c r="G349">
        <v>13</v>
      </c>
      <c r="H349">
        <v>77</v>
      </c>
      <c r="I349">
        <v>94</v>
      </c>
      <c r="J349">
        <v>95</v>
      </c>
      <c r="K349">
        <f t="shared" si="5"/>
        <v>85.5</v>
      </c>
    </row>
    <row r="350" spans="1:11">
      <c r="A350" t="s">
        <v>24</v>
      </c>
      <c r="B350" t="s">
        <v>38</v>
      </c>
      <c r="C350" t="s">
        <v>39</v>
      </c>
      <c r="D350" t="s">
        <v>27</v>
      </c>
      <c r="E350" t="s">
        <v>15</v>
      </c>
      <c r="F350" s="5" t="s">
        <v>363</v>
      </c>
      <c r="G350">
        <v>21</v>
      </c>
      <c r="H350">
        <v>75</v>
      </c>
      <c r="I350">
        <v>74</v>
      </c>
      <c r="J350">
        <v>66</v>
      </c>
      <c r="K350">
        <f t="shared" si="5"/>
        <v>74.5</v>
      </c>
    </row>
    <row r="351" spans="1:11">
      <c r="A351" t="s">
        <v>24</v>
      </c>
      <c r="B351" t="s">
        <v>69</v>
      </c>
      <c r="C351" t="s">
        <v>26</v>
      </c>
      <c r="D351" t="s">
        <v>14</v>
      </c>
      <c r="E351" t="s">
        <v>15</v>
      </c>
      <c r="F351" s="5" t="s">
        <v>364</v>
      </c>
      <c r="G351">
        <v>10</v>
      </c>
      <c r="H351">
        <v>87</v>
      </c>
      <c r="I351">
        <v>74</v>
      </c>
      <c r="J351">
        <v>76</v>
      </c>
      <c r="K351">
        <f t="shared" si="5"/>
        <v>80.5</v>
      </c>
    </row>
    <row r="352" spans="1:11">
      <c r="A352" t="s">
        <v>11</v>
      </c>
      <c r="B352" t="s">
        <v>12</v>
      </c>
      <c r="C352" t="s">
        <v>13</v>
      </c>
      <c r="D352" t="s">
        <v>14</v>
      </c>
      <c r="E352" t="s">
        <v>15</v>
      </c>
      <c r="F352" s="5" t="s">
        <v>365</v>
      </c>
      <c r="G352">
        <v>23</v>
      </c>
      <c r="H352">
        <v>52</v>
      </c>
      <c r="I352">
        <v>65</v>
      </c>
      <c r="J352">
        <v>69</v>
      </c>
      <c r="K352">
        <f t="shared" si="5"/>
        <v>58.5</v>
      </c>
    </row>
    <row r="353" spans="1:11">
      <c r="A353" t="s">
        <v>24</v>
      </c>
      <c r="B353" t="s">
        <v>69</v>
      </c>
      <c r="C353" t="s">
        <v>18</v>
      </c>
      <c r="D353" t="s">
        <v>14</v>
      </c>
      <c r="E353" t="s">
        <v>15</v>
      </c>
      <c r="F353" s="5" t="s">
        <v>366</v>
      </c>
      <c r="G353">
        <v>23</v>
      </c>
      <c r="H353">
        <v>66</v>
      </c>
      <c r="I353">
        <v>57</v>
      </c>
      <c r="J353">
        <v>52</v>
      </c>
      <c r="K353">
        <f t="shared" si="5"/>
        <v>61.5</v>
      </c>
    </row>
    <row r="354" spans="1:11">
      <c r="A354" t="s">
        <v>11</v>
      </c>
      <c r="B354" t="s">
        <v>17</v>
      </c>
      <c r="C354" t="s">
        <v>18</v>
      </c>
      <c r="D354" t="s">
        <v>14</v>
      </c>
      <c r="E354" t="s">
        <v>19</v>
      </c>
      <c r="F354" s="5" t="s">
        <v>367</v>
      </c>
      <c r="G354">
        <v>0</v>
      </c>
      <c r="H354">
        <v>63</v>
      </c>
      <c r="I354">
        <v>78</v>
      </c>
      <c r="J354">
        <v>80</v>
      </c>
      <c r="K354">
        <f t="shared" si="5"/>
        <v>70.5</v>
      </c>
    </row>
    <row r="355" spans="1:11">
      <c r="A355" t="s">
        <v>11</v>
      </c>
      <c r="B355" t="s">
        <v>17</v>
      </c>
      <c r="C355" t="s">
        <v>26</v>
      </c>
      <c r="D355" t="s">
        <v>14</v>
      </c>
      <c r="E355" t="s">
        <v>15</v>
      </c>
      <c r="F355" s="5" t="s">
        <v>368</v>
      </c>
      <c r="G355">
        <v>22</v>
      </c>
      <c r="H355">
        <v>46</v>
      </c>
      <c r="I355">
        <v>58</v>
      </c>
      <c r="J355">
        <v>57</v>
      </c>
      <c r="K355">
        <f t="shared" si="5"/>
        <v>52</v>
      </c>
    </row>
    <row r="356" spans="1:11">
      <c r="A356" t="s">
        <v>11</v>
      </c>
      <c r="B356" t="s">
        <v>17</v>
      </c>
      <c r="C356" t="s">
        <v>18</v>
      </c>
      <c r="D356" t="s">
        <v>14</v>
      </c>
      <c r="E356" t="s">
        <v>15</v>
      </c>
      <c r="F356" s="5" t="s">
        <v>369</v>
      </c>
      <c r="G356">
        <v>26</v>
      </c>
      <c r="H356">
        <v>59</v>
      </c>
      <c r="I356">
        <v>71</v>
      </c>
      <c r="J356">
        <v>70</v>
      </c>
      <c r="K356">
        <f t="shared" si="5"/>
        <v>65</v>
      </c>
    </row>
    <row r="357" spans="1:11">
      <c r="A357" t="s">
        <v>11</v>
      </c>
      <c r="B357" t="s">
        <v>12</v>
      </c>
      <c r="C357" t="s">
        <v>13</v>
      </c>
      <c r="D357" t="s">
        <v>14</v>
      </c>
      <c r="E357" t="s">
        <v>15</v>
      </c>
      <c r="F357" s="5" t="s">
        <v>370</v>
      </c>
      <c r="G357">
        <v>12</v>
      </c>
      <c r="H357">
        <v>61</v>
      </c>
      <c r="I357">
        <v>72</v>
      </c>
      <c r="J357">
        <v>70</v>
      </c>
      <c r="K357">
        <f t="shared" si="5"/>
        <v>66.5</v>
      </c>
    </row>
    <row r="358" spans="1:11">
      <c r="A358" t="s">
        <v>24</v>
      </c>
      <c r="B358" t="s">
        <v>25</v>
      </c>
      <c r="C358" t="s">
        <v>26</v>
      </c>
      <c r="D358" t="s">
        <v>14</v>
      </c>
      <c r="E358" t="s">
        <v>15</v>
      </c>
      <c r="F358" s="5" t="s">
        <v>371</v>
      </c>
      <c r="G358">
        <v>1</v>
      </c>
      <c r="H358">
        <v>63</v>
      </c>
      <c r="I358">
        <v>61</v>
      </c>
      <c r="J358">
        <v>61</v>
      </c>
      <c r="K358">
        <f t="shared" si="5"/>
        <v>62</v>
      </c>
    </row>
    <row r="359" spans="1:11">
      <c r="A359" t="s">
        <v>11</v>
      </c>
      <c r="B359" t="s">
        <v>17</v>
      </c>
      <c r="C359" t="s">
        <v>18</v>
      </c>
      <c r="D359" t="s">
        <v>27</v>
      </c>
      <c r="E359" t="s">
        <v>19</v>
      </c>
      <c r="F359" s="5" t="s">
        <v>372</v>
      </c>
      <c r="G359">
        <v>27</v>
      </c>
      <c r="H359">
        <v>42</v>
      </c>
      <c r="I359">
        <v>66</v>
      </c>
      <c r="J359">
        <v>69</v>
      </c>
      <c r="K359">
        <f t="shared" si="5"/>
        <v>54</v>
      </c>
    </row>
    <row r="360" spans="1:11">
      <c r="A360" t="s">
        <v>24</v>
      </c>
      <c r="B360" t="s">
        <v>38</v>
      </c>
      <c r="C360" t="s">
        <v>18</v>
      </c>
      <c r="D360" t="s">
        <v>27</v>
      </c>
      <c r="E360" t="s">
        <v>15</v>
      </c>
      <c r="F360">
        <v>12.578102899999999</v>
      </c>
      <c r="G360">
        <v>1</v>
      </c>
      <c r="H360">
        <v>59</v>
      </c>
      <c r="I360">
        <v>62</v>
      </c>
      <c r="J360">
        <v>61</v>
      </c>
      <c r="K360">
        <f t="shared" si="5"/>
        <v>60.5</v>
      </c>
    </row>
    <row r="361" spans="1:11">
      <c r="A361" t="s">
        <v>11</v>
      </c>
      <c r="B361" t="s">
        <v>38</v>
      </c>
      <c r="C361" t="s">
        <v>18</v>
      </c>
      <c r="D361" t="s">
        <v>14</v>
      </c>
      <c r="E361" t="s">
        <v>15</v>
      </c>
      <c r="F361" s="5" t="s">
        <v>373</v>
      </c>
      <c r="G361">
        <v>13</v>
      </c>
      <c r="H361">
        <v>80</v>
      </c>
      <c r="I361">
        <v>90</v>
      </c>
      <c r="J361">
        <v>89</v>
      </c>
      <c r="K361">
        <f t="shared" si="5"/>
        <v>85</v>
      </c>
    </row>
    <row r="362" spans="1:11">
      <c r="A362" t="s">
        <v>11</v>
      </c>
      <c r="B362" t="s">
        <v>12</v>
      </c>
      <c r="C362" t="s">
        <v>39</v>
      </c>
      <c r="D362" t="s">
        <v>14</v>
      </c>
      <c r="E362" t="s">
        <v>15</v>
      </c>
      <c r="F362" s="5" t="s">
        <v>374</v>
      </c>
      <c r="G362">
        <v>29</v>
      </c>
      <c r="H362">
        <v>58</v>
      </c>
      <c r="I362">
        <v>62</v>
      </c>
      <c r="J362">
        <v>59</v>
      </c>
      <c r="K362">
        <f t="shared" si="5"/>
        <v>60</v>
      </c>
    </row>
    <row r="363" spans="1:11">
      <c r="A363" t="s">
        <v>24</v>
      </c>
      <c r="B363" t="s">
        <v>12</v>
      </c>
      <c r="C363" t="s">
        <v>50</v>
      </c>
      <c r="D363" t="s">
        <v>14</v>
      </c>
      <c r="E363" t="s">
        <v>19</v>
      </c>
      <c r="F363" s="5" t="s">
        <v>375</v>
      </c>
      <c r="G363">
        <v>20</v>
      </c>
      <c r="H363">
        <v>85</v>
      </c>
      <c r="I363">
        <v>84</v>
      </c>
      <c r="J363">
        <v>78</v>
      </c>
      <c r="K363">
        <f t="shared" si="5"/>
        <v>84.5</v>
      </c>
    </row>
    <row r="364" spans="1:11">
      <c r="A364" t="s">
        <v>11</v>
      </c>
      <c r="B364" t="s">
        <v>17</v>
      </c>
      <c r="C364" t="s">
        <v>18</v>
      </c>
      <c r="D364" t="s">
        <v>14</v>
      </c>
      <c r="E364" t="s">
        <v>15</v>
      </c>
      <c r="F364" s="5" t="s">
        <v>376</v>
      </c>
      <c r="G364">
        <v>25</v>
      </c>
      <c r="H364">
        <v>52</v>
      </c>
      <c r="I364">
        <v>58</v>
      </c>
      <c r="J364">
        <v>58</v>
      </c>
      <c r="K364">
        <f t="shared" si="5"/>
        <v>55</v>
      </c>
    </row>
    <row r="365" spans="1:11">
      <c r="A365" t="s">
        <v>11</v>
      </c>
      <c r="B365" t="s">
        <v>38</v>
      </c>
      <c r="C365" t="s">
        <v>50</v>
      </c>
      <c r="D365" t="s">
        <v>27</v>
      </c>
      <c r="E365" t="s">
        <v>15</v>
      </c>
      <c r="F365" s="5" t="s">
        <v>377</v>
      </c>
      <c r="G365">
        <v>25</v>
      </c>
      <c r="H365">
        <v>27</v>
      </c>
      <c r="I365">
        <v>34</v>
      </c>
      <c r="J365">
        <v>32</v>
      </c>
      <c r="K365">
        <f t="shared" si="5"/>
        <v>30.5</v>
      </c>
    </row>
    <row r="366" spans="1:11">
      <c r="A366" t="s">
        <v>24</v>
      </c>
      <c r="B366" t="s">
        <v>17</v>
      </c>
      <c r="C366" t="s">
        <v>18</v>
      </c>
      <c r="D366" t="s">
        <v>14</v>
      </c>
      <c r="E366" t="s">
        <v>15</v>
      </c>
      <c r="F366" s="5" t="s">
        <v>378</v>
      </c>
      <c r="G366">
        <v>12</v>
      </c>
      <c r="H366">
        <v>59</v>
      </c>
      <c r="I366">
        <v>60</v>
      </c>
      <c r="J366">
        <v>58</v>
      </c>
      <c r="K366">
        <f t="shared" si="5"/>
        <v>59.5</v>
      </c>
    </row>
    <row r="367" spans="1:11">
      <c r="A367" t="s">
        <v>24</v>
      </c>
      <c r="B367" t="s">
        <v>25</v>
      </c>
      <c r="C367" t="s">
        <v>13</v>
      </c>
      <c r="D367" t="s">
        <v>27</v>
      </c>
      <c r="E367" t="s">
        <v>19</v>
      </c>
      <c r="F367" s="5" t="s">
        <v>379</v>
      </c>
      <c r="G367">
        <v>29</v>
      </c>
      <c r="H367">
        <v>49</v>
      </c>
      <c r="I367">
        <v>58</v>
      </c>
      <c r="J367">
        <v>60</v>
      </c>
      <c r="K367">
        <f t="shared" si="5"/>
        <v>53.5</v>
      </c>
    </row>
    <row r="368" spans="1:11">
      <c r="A368" t="s">
        <v>24</v>
      </c>
      <c r="B368" t="s">
        <v>17</v>
      </c>
      <c r="C368" t="s">
        <v>39</v>
      </c>
      <c r="D368" t="s">
        <v>14</v>
      </c>
      <c r="E368" t="s">
        <v>19</v>
      </c>
      <c r="F368" s="5" t="s">
        <v>380</v>
      </c>
      <c r="G368">
        <v>12</v>
      </c>
      <c r="H368">
        <v>69</v>
      </c>
      <c r="I368">
        <v>58</v>
      </c>
      <c r="J368">
        <v>53</v>
      </c>
      <c r="K368">
        <f t="shared" si="5"/>
        <v>63.5</v>
      </c>
    </row>
    <row r="369" spans="1:11">
      <c r="A369" t="s">
        <v>24</v>
      </c>
      <c r="B369" t="s">
        <v>17</v>
      </c>
      <c r="C369" t="s">
        <v>13</v>
      </c>
      <c r="D369" t="s">
        <v>27</v>
      </c>
      <c r="E369" t="s">
        <v>15</v>
      </c>
      <c r="F369" s="5" t="s">
        <v>381</v>
      </c>
      <c r="G369">
        <v>12</v>
      </c>
      <c r="H369">
        <v>61</v>
      </c>
      <c r="I369">
        <v>66</v>
      </c>
      <c r="J369">
        <v>61</v>
      </c>
      <c r="K369">
        <f t="shared" si="5"/>
        <v>63.5</v>
      </c>
    </row>
    <row r="370" spans="1:11">
      <c r="A370" t="s">
        <v>11</v>
      </c>
      <c r="B370" t="s">
        <v>25</v>
      </c>
      <c r="C370" t="s">
        <v>50</v>
      </c>
      <c r="D370" t="s">
        <v>27</v>
      </c>
      <c r="E370" t="s">
        <v>15</v>
      </c>
      <c r="F370" s="5" t="s">
        <v>382</v>
      </c>
      <c r="G370">
        <v>7</v>
      </c>
      <c r="H370">
        <v>44</v>
      </c>
      <c r="I370">
        <v>64</v>
      </c>
      <c r="J370">
        <v>58</v>
      </c>
      <c r="K370">
        <f t="shared" si="5"/>
        <v>54</v>
      </c>
    </row>
    <row r="371" spans="1:11">
      <c r="A371" t="s">
        <v>11</v>
      </c>
      <c r="B371" t="s">
        <v>38</v>
      </c>
      <c r="C371" t="s">
        <v>50</v>
      </c>
      <c r="D371" t="s">
        <v>14</v>
      </c>
      <c r="E371" t="s">
        <v>15</v>
      </c>
      <c r="F371" s="5" t="s">
        <v>383</v>
      </c>
      <c r="G371">
        <v>8</v>
      </c>
      <c r="H371">
        <v>73</v>
      </c>
      <c r="I371">
        <v>84</v>
      </c>
      <c r="J371">
        <v>85</v>
      </c>
      <c r="K371">
        <f t="shared" si="5"/>
        <v>78.5</v>
      </c>
    </row>
    <row r="372" spans="1:11">
      <c r="A372" t="s">
        <v>24</v>
      </c>
      <c r="B372" t="s">
        <v>69</v>
      </c>
      <c r="C372" t="s">
        <v>18</v>
      </c>
      <c r="D372" t="s">
        <v>14</v>
      </c>
      <c r="E372" t="s">
        <v>15</v>
      </c>
      <c r="F372" s="5" t="s">
        <v>384</v>
      </c>
      <c r="G372">
        <v>29</v>
      </c>
      <c r="H372">
        <v>84</v>
      </c>
      <c r="I372">
        <v>77</v>
      </c>
      <c r="J372">
        <v>71</v>
      </c>
      <c r="K372">
        <f t="shared" si="5"/>
        <v>80.5</v>
      </c>
    </row>
    <row r="373" spans="1:11">
      <c r="A373" t="s">
        <v>11</v>
      </c>
      <c r="B373" t="s">
        <v>17</v>
      </c>
      <c r="C373" t="s">
        <v>18</v>
      </c>
      <c r="D373" t="s">
        <v>27</v>
      </c>
      <c r="E373" t="s">
        <v>19</v>
      </c>
      <c r="F373" s="5" t="s">
        <v>385</v>
      </c>
      <c r="G373">
        <v>15</v>
      </c>
      <c r="H373">
        <v>45</v>
      </c>
      <c r="I373">
        <v>73</v>
      </c>
      <c r="J373">
        <v>70</v>
      </c>
      <c r="K373">
        <f t="shared" si="5"/>
        <v>59</v>
      </c>
    </row>
    <row r="374" spans="1:11">
      <c r="A374" t="s">
        <v>24</v>
      </c>
      <c r="B374" t="s">
        <v>38</v>
      </c>
      <c r="C374" t="s">
        <v>50</v>
      </c>
      <c r="D374" t="s">
        <v>14</v>
      </c>
      <c r="E374" t="s">
        <v>15</v>
      </c>
      <c r="F374" s="5" t="s">
        <v>386</v>
      </c>
      <c r="G374">
        <v>3</v>
      </c>
      <c r="H374">
        <v>74</v>
      </c>
      <c r="I374">
        <v>74</v>
      </c>
      <c r="J374">
        <v>72</v>
      </c>
      <c r="K374">
        <f t="shared" si="5"/>
        <v>74</v>
      </c>
    </row>
    <row r="375" spans="1:11">
      <c r="A375" t="s">
        <v>11</v>
      </c>
      <c r="B375" t="s">
        <v>38</v>
      </c>
      <c r="C375" t="s">
        <v>18</v>
      </c>
      <c r="D375" t="s">
        <v>14</v>
      </c>
      <c r="E375" t="s">
        <v>19</v>
      </c>
      <c r="F375" s="5" t="s">
        <v>387</v>
      </c>
      <c r="G375">
        <v>15</v>
      </c>
      <c r="H375">
        <v>82</v>
      </c>
      <c r="I375">
        <v>97</v>
      </c>
      <c r="J375">
        <v>96</v>
      </c>
      <c r="K375">
        <f t="shared" si="5"/>
        <v>89.5</v>
      </c>
    </row>
    <row r="376" spans="1:11">
      <c r="A376" t="s">
        <v>11</v>
      </c>
      <c r="B376" t="s">
        <v>38</v>
      </c>
      <c r="C376" t="s">
        <v>13</v>
      </c>
      <c r="D376" t="s">
        <v>14</v>
      </c>
      <c r="E376" t="s">
        <v>15</v>
      </c>
      <c r="F376" s="5" t="s">
        <v>388</v>
      </c>
      <c r="G376">
        <v>16</v>
      </c>
      <c r="H376">
        <v>59</v>
      </c>
      <c r="I376">
        <v>70</v>
      </c>
      <c r="J376">
        <v>73</v>
      </c>
      <c r="K376">
        <f t="shared" si="5"/>
        <v>64.5</v>
      </c>
    </row>
    <row r="377" spans="1:11">
      <c r="A377" t="s">
        <v>24</v>
      </c>
      <c r="B377" t="s">
        <v>69</v>
      </c>
      <c r="C377" t="s">
        <v>26</v>
      </c>
      <c r="D377" t="s">
        <v>27</v>
      </c>
      <c r="E377" t="s">
        <v>15</v>
      </c>
      <c r="F377" s="5" t="s">
        <v>389</v>
      </c>
      <c r="G377">
        <v>27</v>
      </c>
      <c r="H377">
        <v>46</v>
      </c>
      <c r="I377">
        <v>43</v>
      </c>
      <c r="J377">
        <v>41</v>
      </c>
      <c r="K377">
        <f t="shared" si="5"/>
        <v>44.5</v>
      </c>
    </row>
    <row r="378" spans="1:11">
      <c r="A378" t="s">
        <v>11</v>
      </c>
      <c r="B378" t="s">
        <v>38</v>
      </c>
      <c r="C378" t="s">
        <v>50</v>
      </c>
      <c r="D378" t="s">
        <v>14</v>
      </c>
      <c r="E378" t="s">
        <v>15</v>
      </c>
      <c r="F378" s="5" t="s">
        <v>390</v>
      </c>
      <c r="G378">
        <v>12</v>
      </c>
      <c r="H378">
        <v>80</v>
      </c>
      <c r="I378">
        <v>90</v>
      </c>
      <c r="J378">
        <v>82</v>
      </c>
      <c r="K378">
        <f t="shared" si="5"/>
        <v>85</v>
      </c>
    </row>
    <row r="379" spans="1:11">
      <c r="A379" t="s">
        <v>11</v>
      </c>
      <c r="B379" t="s">
        <v>38</v>
      </c>
      <c r="C379" t="s">
        <v>22</v>
      </c>
      <c r="D379" t="s">
        <v>27</v>
      </c>
      <c r="E379" t="s">
        <v>19</v>
      </c>
      <c r="F379" s="5" t="s">
        <v>391</v>
      </c>
      <c r="G379">
        <v>8</v>
      </c>
      <c r="H379">
        <v>85</v>
      </c>
      <c r="I379">
        <v>95</v>
      </c>
      <c r="J379">
        <v>100</v>
      </c>
      <c r="K379">
        <f t="shared" si="5"/>
        <v>90</v>
      </c>
    </row>
    <row r="380" spans="1:11">
      <c r="A380" t="s">
        <v>11</v>
      </c>
      <c r="B380" t="s">
        <v>25</v>
      </c>
      <c r="C380" t="s">
        <v>50</v>
      </c>
      <c r="D380" t="s">
        <v>14</v>
      </c>
      <c r="E380" t="s">
        <v>15</v>
      </c>
      <c r="F380" s="5" t="s">
        <v>392</v>
      </c>
      <c r="G380">
        <v>3</v>
      </c>
      <c r="H380">
        <v>71</v>
      </c>
      <c r="I380">
        <v>83</v>
      </c>
      <c r="J380">
        <v>77</v>
      </c>
      <c r="K380">
        <f t="shared" si="5"/>
        <v>77</v>
      </c>
    </row>
    <row r="381" spans="1:11">
      <c r="A381" t="s">
        <v>24</v>
      </c>
      <c r="B381" t="s">
        <v>25</v>
      </c>
      <c r="C381" t="s">
        <v>13</v>
      </c>
      <c r="D381" t="s">
        <v>14</v>
      </c>
      <c r="E381" t="s">
        <v>15</v>
      </c>
      <c r="F381" s="5" t="s">
        <v>393</v>
      </c>
      <c r="G381">
        <v>24</v>
      </c>
      <c r="H381">
        <v>66</v>
      </c>
      <c r="I381">
        <v>64</v>
      </c>
      <c r="J381">
        <v>62</v>
      </c>
      <c r="K381">
        <f t="shared" si="5"/>
        <v>65</v>
      </c>
    </row>
    <row r="382" spans="1:11">
      <c r="A382" t="s">
        <v>11</v>
      </c>
      <c r="B382" t="s">
        <v>12</v>
      </c>
      <c r="C382" t="s">
        <v>26</v>
      </c>
      <c r="D382" t="s">
        <v>14</v>
      </c>
      <c r="E382" t="s">
        <v>15</v>
      </c>
      <c r="F382" s="5" t="s">
        <v>394</v>
      </c>
      <c r="G382">
        <v>6</v>
      </c>
      <c r="H382">
        <v>80</v>
      </c>
      <c r="I382">
        <v>86</v>
      </c>
      <c r="J382">
        <v>83</v>
      </c>
      <c r="K382">
        <f t="shared" si="5"/>
        <v>83</v>
      </c>
    </row>
    <row r="383" spans="1:11">
      <c r="A383" t="s">
        <v>24</v>
      </c>
      <c r="B383" t="s">
        <v>17</v>
      </c>
      <c r="C383" t="s">
        <v>26</v>
      </c>
      <c r="D383" t="s">
        <v>14</v>
      </c>
      <c r="E383" t="s">
        <v>19</v>
      </c>
      <c r="F383" s="5" t="s">
        <v>395</v>
      </c>
      <c r="G383">
        <v>25</v>
      </c>
      <c r="H383">
        <v>87</v>
      </c>
      <c r="I383">
        <v>100</v>
      </c>
      <c r="J383">
        <v>95</v>
      </c>
      <c r="K383">
        <f t="shared" si="5"/>
        <v>93.5</v>
      </c>
    </row>
    <row r="384" spans="1:11">
      <c r="A384" t="s">
        <v>24</v>
      </c>
      <c r="B384" t="s">
        <v>17</v>
      </c>
      <c r="C384" t="s">
        <v>22</v>
      </c>
      <c r="D384" t="s">
        <v>27</v>
      </c>
      <c r="E384" t="s">
        <v>15</v>
      </c>
      <c r="F384" s="5" t="s">
        <v>396</v>
      </c>
      <c r="G384">
        <v>21</v>
      </c>
      <c r="H384">
        <v>79</v>
      </c>
      <c r="I384">
        <v>81</v>
      </c>
      <c r="J384">
        <v>71</v>
      </c>
      <c r="K384">
        <f t="shared" si="5"/>
        <v>80</v>
      </c>
    </row>
    <row r="385" spans="1:11">
      <c r="A385" t="s">
        <v>11</v>
      </c>
      <c r="B385" t="s">
        <v>69</v>
      </c>
      <c r="C385" t="s">
        <v>50</v>
      </c>
      <c r="D385" t="s">
        <v>27</v>
      </c>
      <c r="E385" t="s">
        <v>15</v>
      </c>
      <c r="F385" s="5" t="s">
        <v>397</v>
      </c>
      <c r="G385">
        <v>25</v>
      </c>
      <c r="H385">
        <v>38</v>
      </c>
      <c r="I385">
        <v>49</v>
      </c>
      <c r="J385">
        <v>45</v>
      </c>
      <c r="K385">
        <f t="shared" si="5"/>
        <v>43.5</v>
      </c>
    </row>
    <row r="386" spans="1:11">
      <c r="A386" t="s">
        <v>11</v>
      </c>
      <c r="B386" t="s">
        <v>25</v>
      </c>
      <c r="C386" t="s">
        <v>50</v>
      </c>
      <c r="D386" t="s">
        <v>27</v>
      </c>
      <c r="E386" t="s">
        <v>15</v>
      </c>
      <c r="F386" s="5" t="s">
        <v>398</v>
      </c>
      <c r="G386">
        <v>19</v>
      </c>
      <c r="H386">
        <v>38</v>
      </c>
      <c r="I386">
        <v>43</v>
      </c>
      <c r="J386">
        <v>43</v>
      </c>
      <c r="K386">
        <f t="shared" si="5"/>
        <v>40.5</v>
      </c>
    </row>
    <row r="387" spans="1:11">
      <c r="A387" t="s">
        <v>11</v>
      </c>
      <c r="B387" t="s">
        <v>69</v>
      </c>
      <c r="C387" t="s">
        <v>18</v>
      </c>
      <c r="D387" t="s">
        <v>14</v>
      </c>
      <c r="E387" t="s">
        <v>15</v>
      </c>
      <c r="F387" s="5" t="s">
        <v>399</v>
      </c>
      <c r="G387">
        <v>4</v>
      </c>
      <c r="H387">
        <v>67</v>
      </c>
      <c r="I387">
        <v>76</v>
      </c>
      <c r="J387">
        <v>75</v>
      </c>
      <c r="K387">
        <f t="shared" ref="K387:K450" si="6">(H387+I387)/2</f>
        <v>71.5</v>
      </c>
    </row>
    <row r="388" spans="1:11">
      <c r="A388" t="s">
        <v>11</v>
      </c>
      <c r="B388" t="s">
        <v>69</v>
      </c>
      <c r="C388" t="s">
        <v>13</v>
      </c>
      <c r="D388" t="s">
        <v>14</v>
      </c>
      <c r="E388" t="s">
        <v>15</v>
      </c>
      <c r="F388">
        <v>12.653540700000001</v>
      </c>
      <c r="G388">
        <v>7</v>
      </c>
      <c r="H388">
        <v>64</v>
      </c>
      <c r="I388">
        <v>73</v>
      </c>
      <c r="J388">
        <v>70</v>
      </c>
      <c r="K388">
        <f t="shared" si="6"/>
        <v>68.5</v>
      </c>
    </row>
    <row r="389" spans="1:11">
      <c r="A389" t="s">
        <v>11</v>
      </c>
      <c r="B389" t="s">
        <v>17</v>
      </c>
      <c r="C389" t="s">
        <v>26</v>
      </c>
      <c r="D389" t="s">
        <v>27</v>
      </c>
      <c r="E389" t="s">
        <v>15</v>
      </c>
      <c r="F389" s="5" t="s">
        <v>400</v>
      </c>
      <c r="G389">
        <v>21</v>
      </c>
      <c r="H389">
        <v>57</v>
      </c>
      <c r="I389">
        <v>78</v>
      </c>
      <c r="J389">
        <v>67</v>
      </c>
      <c r="K389">
        <f t="shared" si="6"/>
        <v>67.5</v>
      </c>
    </row>
    <row r="390" spans="1:11">
      <c r="A390" t="s">
        <v>11</v>
      </c>
      <c r="B390" t="s">
        <v>38</v>
      </c>
      <c r="C390" t="s">
        <v>39</v>
      </c>
      <c r="D390" t="s">
        <v>14</v>
      </c>
      <c r="E390" t="s">
        <v>15</v>
      </c>
      <c r="F390" s="5" t="s">
        <v>401</v>
      </c>
      <c r="G390">
        <v>0</v>
      </c>
      <c r="H390">
        <v>62</v>
      </c>
      <c r="I390">
        <v>64</v>
      </c>
      <c r="J390">
        <v>64</v>
      </c>
      <c r="K390">
        <f t="shared" si="6"/>
        <v>63</v>
      </c>
    </row>
    <row r="391" spans="1:11">
      <c r="A391" t="s">
        <v>24</v>
      </c>
      <c r="B391" t="s">
        <v>38</v>
      </c>
      <c r="C391" t="s">
        <v>22</v>
      </c>
      <c r="D391" t="s">
        <v>14</v>
      </c>
      <c r="E391" t="s">
        <v>15</v>
      </c>
      <c r="F391" s="5" t="s">
        <v>402</v>
      </c>
      <c r="G391">
        <v>22</v>
      </c>
      <c r="H391">
        <v>73</v>
      </c>
      <c r="I391">
        <v>70</v>
      </c>
      <c r="J391">
        <v>75</v>
      </c>
      <c r="K391">
        <f t="shared" si="6"/>
        <v>71.5</v>
      </c>
    </row>
    <row r="392" spans="1:11">
      <c r="A392" t="s">
        <v>24</v>
      </c>
      <c r="B392" t="s">
        <v>69</v>
      </c>
      <c r="C392" t="s">
        <v>50</v>
      </c>
      <c r="D392" t="s">
        <v>27</v>
      </c>
      <c r="E392" t="s">
        <v>19</v>
      </c>
      <c r="F392" s="5" t="s">
        <v>403</v>
      </c>
      <c r="G392">
        <v>17</v>
      </c>
      <c r="H392">
        <v>73</v>
      </c>
      <c r="I392">
        <v>67</v>
      </c>
      <c r="J392">
        <v>59</v>
      </c>
      <c r="K392">
        <f t="shared" si="6"/>
        <v>70</v>
      </c>
    </row>
    <row r="393" spans="1:11">
      <c r="A393" t="s">
        <v>11</v>
      </c>
      <c r="B393" t="s">
        <v>38</v>
      </c>
      <c r="C393" t="s">
        <v>18</v>
      </c>
      <c r="D393" t="s">
        <v>14</v>
      </c>
      <c r="E393" t="s">
        <v>15</v>
      </c>
      <c r="F393" s="5" t="s">
        <v>404</v>
      </c>
      <c r="G393">
        <v>19</v>
      </c>
      <c r="H393">
        <v>77</v>
      </c>
      <c r="I393">
        <v>68</v>
      </c>
      <c r="J393">
        <v>77</v>
      </c>
      <c r="K393">
        <f t="shared" si="6"/>
        <v>72.5</v>
      </c>
    </row>
    <row r="394" spans="1:11">
      <c r="A394" t="s">
        <v>24</v>
      </c>
      <c r="B394" t="s">
        <v>69</v>
      </c>
      <c r="C394" t="s">
        <v>18</v>
      </c>
      <c r="D394" t="s">
        <v>14</v>
      </c>
      <c r="E394" t="s">
        <v>15</v>
      </c>
      <c r="F394" s="5" t="s">
        <v>405</v>
      </c>
      <c r="G394">
        <v>24</v>
      </c>
      <c r="H394">
        <v>76</v>
      </c>
      <c r="I394">
        <v>67</v>
      </c>
      <c r="J394">
        <v>67</v>
      </c>
      <c r="K394">
        <f t="shared" si="6"/>
        <v>71.5</v>
      </c>
    </row>
    <row r="395" spans="1:11">
      <c r="A395" t="s">
        <v>24</v>
      </c>
      <c r="B395" t="s">
        <v>17</v>
      </c>
      <c r="C395" t="s">
        <v>26</v>
      </c>
      <c r="D395" t="s">
        <v>14</v>
      </c>
      <c r="E395" t="s">
        <v>19</v>
      </c>
      <c r="F395" s="5" t="s">
        <v>406</v>
      </c>
      <c r="G395">
        <v>18</v>
      </c>
      <c r="H395">
        <v>57</v>
      </c>
      <c r="I395">
        <v>54</v>
      </c>
      <c r="J395">
        <v>56</v>
      </c>
      <c r="K395">
        <f t="shared" si="6"/>
        <v>55.5</v>
      </c>
    </row>
    <row r="396" spans="1:11">
      <c r="A396" t="s">
        <v>11</v>
      </c>
      <c r="B396" t="s">
        <v>17</v>
      </c>
      <c r="C396" t="s">
        <v>50</v>
      </c>
      <c r="D396" t="s">
        <v>14</v>
      </c>
      <c r="E396" t="s">
        <v>19</v>
      </c>
      <c r="F396" s="5" t="s">
        <v>407</v>
      </c>
      <c r="G396">
        <v>25</v>
      </c>
      <c r="H396">
        <v>65</v>
      </c>
      <c r="I396">
        <v>74</v>
      </c>
      <c r="J396">
        <v>77</v>
      </c>
      <c r="K396">
        <f t="shared" si="6"/>
        <v>69.5</v>
      </c>
    </row>
    <row r="397" spans="1:11">
      <c r="A397" t="s">
        <v>24</v>
      </c>
      <c r="B397" t="s">
        <v>25</v>
      </c>
      <c r="C397" t="s">
        <v>39</v>
      </c>
      <c r="D397" t="s">
        <v>27</v>
      </c>
      <c r="E397" t="s">
        <v>15</v>
      </c>
      <c r="F397" s="5" t="s">
        <v>408</v>
      </c>
      <c r="G397">
        <v>7</v>
      </c>
      <c r="H397">
        <v>48</v>
      </c>
      <c r="I397">
        <v>45</v>
      </c>
      <c r="J397">
        <v>41</v>
      </c>
      <c r="K397">
        <f t="shared" si="6"/>
        <v>46.5</v>
      </c>
    </row>
    <row r="398" spans="1:11">
      <c r="A398" t="s">
        <v>11</v>
      </c>
      <c r="B398" t="s">
        <v>12</v>
      </c>
      <c r="C398" t="s">
        <v>39</v>
      </c>
      <c r="D398" t="s">
        <v>27</v>
      </c>
      <c r="E398" t="s">
        <v>15</v>
      </c>
      <c r="F398" s="5" t="s">
        <v>409</v>
      </c>
      <c r="G398">
        <v>6</v>
      </c>
      <c r="H398">
        <v>50</v>
      </c>
      <c r="I398">
        <v>67</v>
      </c>
      <c r="J398">
        <v>63</v>
      </c>
      <c r="K398">
        <f t="shared" si="6"/>
        <v>58.5</v>
      </c>
    </row>
    <row r="399" spans="1:11">
      <c r="A399" t="s">
        <v>11</v>
      </c>
      <c r="B399" t="s">
        <v>17</v>
      </c>
      <c r="C399" t="s">
        <v>26</v>
      </c>
      <c r="D399" t="s">
        <v>14</v>
      </c>
      <c r="E399" t="s">
        <v>15</v>
      </c>
      <c r="F399" s="5" t="s">
        <v>410</v>
      </c>
      <c r="G399">
        <v>27</v>
      </c>
      <c r="H399">
        <v>85</v>
      </c>
      <c r="I399">
        <v>89</v>
      </c>
      <c r="J399">
        <v>95</v>
      </c>
      <c r="K399">
        <f t="shared" si="6"/>
        <v>87</v>
      </c>
    </row>
    <row r="400" spans="1:11">
      <c r="A400" t="s">
        <v>24</v>
      </c>
      <c r="B400" t="s">
        <v>12</v>
      </c>
      <c r="C400" t="s">
        <v>50</v>
      </c>
      <c r="D400" t="s">
        <v>14</v>
      </c>
      <c r="E400" t="s">
        <v>15</v>
      </c>
      <c r="F400" s="5" t="s">
        <v>411</v>
      </c>
      <c r="G400">
        <v>22</v>
      </c>
      <c r="H400">
        <v>74</v>
      </c>
      <c r="I400">
        <v>63</v>
      </c>
      <c r="J400">
        <v>57</v>
      </c>
      <c r="K400">
        <f t="shared" si="6"/>
        <v>68.5</v>
      </c>
    </row>
    <row r="401" spans="1:11">
      <c r="A401" t="s">
        <v>24</v>
      </c>
      <c r="B401" t="s">
        <v>38</v>
      </c>
      <c r="C401" t="s">
        <v>50</v>
      </c>
      <c r="D401" t="s">
        <v>14</v>
      </c>
      <c r="E401" t="s">
        <v>15</v>
      </c>
      <c r="F401" s="5" t="s">
        <v>412</v>
      </c>
      <c r="G401">
        <v>28</v>
      </c>
      <c r="H401">
        <v>60</v>
      </c>
      <c r="I401">
        <v>59</v>
      </c>
      <c r="J401">
        <v>54</v>
      </c>
      <c r="K401">
        <f t="shared" si="6"/>
        <v>59.5</v>
      </c>
    </row>
    <row r="402" spans="1:11">
      <c r="A402" t="s">
        <v>11</v>
      </c>
      <c r="B402" t="s">
        <v>17</v>
      </c>
      <c r="C402" t="s">
        <v>50</v>
      </c>
      <c r="D402" t="s">
        <v>14</v>
      </c>
      <c r="E402" t="s">
        <v>19</v>
      </c>
      <c r="F402" s="5" t="s">
        <v>413</v>
      </c>
      <c r="G402">
        <v>4</v>
      </c>
      <c r="H402">
        <v>59</v>
      </c>
      <c r="I402">
        <v>54</v>
      </c>
      <c r="J402">
        <v>67</v>
      </c>
      <c r="K402">
        <f t="shared" si="6"/>
        <v>56.5</v>
      </c>
    </row>
    <row r="403" spans="1:11">
      <c r="A403" t="s">
        <v>24</v>
      </c>
      <c r="B403" t="s">
        <v>25</v>
      </c>
      <c r="C403" t="s">
        <v>18</v>
      </c>
      <c r="D403" t="s">
        <v>14</v>
      </c>
      <c r="E403" t="s">
        <v>15</v>
      </c>
      <c r="F403" s="5" t="s">
        <v>414</v>
      </c>
      <c r="G403">
        <v>21</v>
      </c>
      <c r="H403">
        <v>53</v>
      </c>
      <c r="I403">
        <v>43</v>
      </c>
      <c r="J403">
        <v>43</v>
      </c>
      <c r="K403">
        <f t="shared" si="6"/>
        <v>48</v>
      </c>
    </row>
    <row r="404" spans="1:11">
      <c r="A404" t="s">
        <v>11</v>
      </c>
      <c r="B404" t="s">
        <v>25</v>
      </c>
      <c r="C404" t="s">
        <v>18</v>
      </c>
      <c r="D404" t="s">
        <v>27</v>
      </c>
      <c r="E404" t="s">
        <v>15</v>
      </c>
      <c r="F404" s="5" t="s">
        <v>415</v>
      </c>
      <c r="G404">
        <v>8</v>
      </c>
      <c r="H404">
        <v>49</v>
      </c>
      <c r="I404">
        <v>65</v>
      </c>
      <c r="J404">
        <v>55</v>
      </c>
      <c r="K404">
        <f t="shared" si="6"/>
        <v>57</v>
      </c>
    </row>
    <row r="405" spans="1:11">
      <c r="A405" t="s">
        <v>11</v>
      </c>
      <c r="B405" t="s">
        <v>38</v>
      </c>
      <c r="C405" t="s">
        <v>39</v>
      </c>
      <c r="D405" t="s">
        <v>14</v>
      </c>
      <c r="E405" t="s">
        <v>19</v>
      </c>
      <c r="F405" s="5" t="s">
        <v>416</v>
      </c>
      <c r="G405">
        <v>29</v>
      </c>
      <c r="H405">
        <v>88</v>
      </c>
      <c r="I405">
        <v>99</v>
      </c>
      <c r="J405">
        <v>100</v>
      </c>
      <c r="K405">
        <f t="shared" si="6"/>
        <v>93.5</v>
      </c>
    </row>
    <row r="406" spans="1:11">
      <c r="A406" t="s">
        <v>11</v>
      </c>
      <c r="B406" t="s">
        <v>17</v>
      </c>
      <c r="C406" t="s">
        <v>39</v>
      </c>
      <c r="D406" t="s">
        <v>14</v>
      </c>
      <c r="E406" t="s">
        <v>15</v>
      </c>
      <c r="F406" s="5" t="s">
        <v>417</v>
      </c>
      <c r="G406">
        <v>21</v>
      </c>
      <c r="H406">
        <v>54</v>
      </c>
      <c r="I406">
        <v>59</v>
      </c>
      <c r="J406">
        <v>62</v>
      </c>
      <c r="K406">
        <f t="shared" si="6"/>
        <v>56.5</v>
      </c>
    </row>
    <row r="407" spans="1:11">
      <c r="A407" t="s">
        <v>11</v>
      </c>
      <c r="B407" t="s">
        <v>17</v>
      </c>
      <c r="C407" t="s">
        <v>50</v>
      </c>
      <c r="D407" t="s">
        <v>14</v>
      </c>
      <c r="E407" t="s">
        <v>15</v>
      </c>
      <c r="F407" s="5" t="s">
        <v>418</v>
      </c>
      <c r="G407">
        <v>24</v>
      </c>
      <c r="H407">
        <v>63</v>
      </c>
      <c r="I407">
        <v>73</v>
      </c>
      <c r="J407">
        <v>68</v>
      </c>
      <c r="K407">
        <f t="shared" si="6"/>
        <v>68</v>
      </c>
    </row>
    <row r="408" spans="1:11">
      <c r="A408" t="s">
        <v>24</v>
      </c>
      <c r="B408" t="s">
        <v>12</v>
      </c>
      <c r="C408" t="s">
        <v>26</v>
      </c>
      <c r="D408" t="s">
        <v>14</v>
      </c>
      <c r="E408" t="s">
        <v>19</v>
      </c>
      <c r="F408" s="5" t="s">
        <v>419</v>
      </c>
      <c r="G408">
        <v>22</v>
      </c>
      <c r="H408">
        <v>65</v>
      </c>
      <c r="I408">
        <v>65</v>
      </c>
      <c r="J408">
        <v>63</v>
      </c>
      <c r="K408">
        <f t="shared" si="6"/>
        <v>65</v>
      </c>
    </row>
    <row r="409" spans="1:11">
      <c r="A409" t="s">
        <v>11</v>
      </c>
      <c r="B409" t="s">
        <v>12</v>
      </c>
      <c r="C409" t="s">
        <v>26</v>
      </c>
      <c r="D409" t="s">
        <v>14</v>
      </c>
      <c r="E409" t="s">
        <v>15</v>
      </c>
      <c r="F409" s="5" t="s">
        <v>420</v>
      </c>
      <c r="G409">
        <v>3</v>
      </c>
      <c r="H409">
        <v>82</v>
      </c>
      <c r="I409">
        <v>80</v>
      </c>
      <c r="J409">
        <v>77</v>
      </c>
      <c r="K409">
        <f t="shared" si="6"/>
        <v>81</v>
      </c>
    </row>
    <row r="410" spans="1:11">
      <c r="A410" t="s">
        <v>11</v>
      </c>
      <c r="B410" t="s">
        <v>38</v>
      </c>
      <c r="C410" t="s">
        <v>39</v>
      </c>
      <c r="D410" t="s">
        <v>27</v>
      </c>
      <c r="E410" t="s">
        <v>19</v>
      </c>
      <c r="F410" s="5" t="s">
        <v>421</v>
      </c>
      <c r="G410">
        <v>21</v>
      </c>
      <c r="H410">
        <v>52</v>
      </c>
      <c r="I410">
        <v>57</v>
      </c>
      <c r="J410">
        <v>56</v>
      </c>
      <c r="K410">
        <f t="shared" si="6"/>
        <v>54.5</v>
      </c>
    </row>
    <row r="411" spans="1:11">
      <c r="A411" t="s">
        <v>24</v>
      </c>
      <c r="B411" t="s">
        <v>38</v>
      </c>
      <c r="C411" t="s">
        <v>26</v>
      </c>
      <c r="D411" t="s">
        <v>14</v>
      </c>
      <c r="E411" t="s">
        <v>19</v>
      </c>
      <c r="F411" s="5" t="s">
        <v>422</v>
      </c>
      <c r="G411">
        <v>17</v>
      </c>
      <c r="H411">
        <v>87</v>
      </c>
      <c r="I411">
        <v>84</v>
      </c>
      <c r="J411">
        <v>85</v>
      </c>
      <c r="K411">
        <f t="shared" si="6"/>
        <v>85.5</v>
      </c>
    </row>
    <row r="412" spans="1:11">
      <c r="A412" t="s">
        <v>11</v>
      </c>
      <c r="B412" t="s">
        <v>38</v>
      </c>
      <c r="C412" t="s">
        <v>22</v>
      </c>
      <c r="D412" t="s">
        <v>14</v>
      </c>
      <c r="E412" t="s">
        <v>19</v>
      </c>
      <c r="F412" s="5" t="s">
        <v>423</v>
      </c>
      <c r="G412">
        <v>12</v>
      </c>
      <c r="H412">
        <v>70</v>
      </c>
      <c r="I412">
        <v>71</v>
      </c>
      <c r="J412">
        <v>74</v>
      </c>
      <c r="K412">
        <f t="shared" si="6"/>
        <v>70.5</v>
      </c>
    </row>
    <row r="413" spans="1:11">
      <c r="A413" t="s">
        <v>24</v>
      </c>
      <c r="B413" t="s">
        <v>69</v>
      </c>
      <c r="C413" t="s">
        <v>18</v>
      </c>
      <c r="D413" t="s">
        <v>14</v>
      </c>
      <c r="E413" t="s">
        <v>19</v>
      </c>
      <c r="F413" s="5" t="s">
        <v>424</v>
      </c>
      <c r="G413">
        <v>17</v>
      </c>
      <c r="H413">
        <v>84</v>
      </c>
      <c r="I413">
        <v>83</v>
      </c>
      <c r="J413">
        <v>78</v>
      </c>
      <c r="K413">
        <f t="shared" si="6"/>
        <v>83.5</v>
      </c>
    </row>
    <row r="414" spans="1:11">
      <c r="A414" t="s">
        <v>24</v>
      </c>
      <c r="B414" t="s">
        <v>38</v>
      </c>
      <c r="C414" t="s">
        <v>26</v>
      </c>
      <c r="D414" t="s">
        <v>14</v>
      </c>
      <c r="E414" t="s">
        <v>15</v>
      </c>
      <c r="F414" s="5" t="s">
        <v>425</v>
      </c>
      <c r="G414">
        <v>4</v>
      </c>
      <c r="H414">
        <v>71</v>
      </c>
      <c r="I414">
        <v>66</v>
      </c>
      <c r="J414">
        <v>60</v>
      </c>
      <c r="K414">
        <f t="shared" si="6"/>
        <v>68.5</v>
      </c>
    </row>
    <row r="415" spans="1:11">
      <c r="A415" t="s">
        <v>24</v>
      </c>
      <c r="B415" t="s">
        <v>12</v>
      </c>
      <c r="C415" t="s">
        <v>50</v>
      </c>
      <c r="D415" t="s">
        <v>14</v>
      </c>
      <c r="E415" t="s">
        <v>19</v>
      </c>
      <c r="F415" s="5" t="s">
        <v>426</v>
      </c>
      <c r="G415">
        <v>29</v>
      </c>
      <c r="H415">
        <v>63</v>
      </c>
      <c r="I415">
        <v>67</v>
      </c>
      <c r="J415">
        <v>67</v>
      </c>
      <c r="K415">
        <f t="shared" si="6"/>
        <v>65</v>
      </c>
    </row>
    <row r="416" spans="1:11">
      <c r="A416" t="s">
        <v>11</v>
      </c>
      <c r="B416" t="s">
        <v>17</v>
      </c>
      <c r="C416" t="s">
        <v>13</v>
      </c>
      <c r="D416" t="s">
        <v>27</v>
      </c>
      <c r="E416" t="s">
        <v>19</v>
      </c>
      <c r="F416" s="5" t="s">
        <v>427</v>
      </c>
      <c r="G416">
        <v>8</v>
      </c>
      <c r="H416">
        <v>51</v>
      </c>
      <c r="I416">
        <v>72</v>
      </c>
      <c r="J416">
        <v>79</v>
      </c>
      <c r="K416">
        <f t="shared" si="6"/>
        <v>61.5</v>
      </c>
    </row>
    <row r="417" spans="1:11">
      <c r="A417" t="s">
        <v>24</v>
      </c>
      <c r="B417" t="s">
        <v>69</v>
      </c>
      <c r="C417" t="s">
        <v>39</v>
      </c>
      <c r="D417" t="s">
        <v>14</v>
      </c>
      <c r="E417" t="s">
        <v>15</v>
      </c>
      <c r="F417" s="5" t="s">
        <v>428</v>
      </c>
      <c r="G417">
        <v>6</v>
      </c>
      <c r="H417">
        <v>84</v>
      </c>
      <c r="I417">
        <v>73</v>
      </c>
      <c r="J417">
        <v>69</v>
      </c>
      <c r="K417">
        <f t="shared" si="6"/>
        <v>78.5</v>
      </c>
    </row>
    <row r="418" spans="1:11">
      <c r="A418" t="s">
        <v>24</v>
      </c>
      <c r="B418" t="s">
        <v>17</v>
      </c>
      <c r="C418" t="s">
        <v>13</v>
      </c>
      <c r="D418" t="s">
        <v>14</v>
      </c>
      <c r="E418" t="s">
        <v>19</v>
      </c>
      <c r="F418" s="5" t="s">
        <v>429</v>
      </c>
      <c r="G418">
        <v>15</v>
      </c>
      <c r="H418">
        <v>71</v>
      </c>
      <c r="I418">
        <v>74</v>
      </c>
      <c r="J418">
        <v>68</v>
      </c>
      <c r="K418">
        <f t="shared" si="6"/>
        <v>72.5</v>
      </c>
    </row>
    <row r="419" spans="1:11">
      <c r="A419" t="s">
        <v>24</v>
      </c>
      <c r="B419" t="s">
        <v>17</v>
      </c>
      <c r="C419" t="s">
        <v>26</v>
      </c>
      <c r="D419" t="s">
        <v>14</v>
      </c>
      <c r="E419" t="s">
        <v>15</v>
      </c>
      <c r="F419" s="5" t="s">
        <v>430</v>
      </c>
      <c r="G419">
        <v>24</v>
      </c>
      <c r="H419">
        <v>74</v>
      </c>
      <c r="I419">
        <v>73</v>
      </c>
      <c r="J419">
        <v>67</v>
      </c>
      <c r="K419">
        <f t="shared" si="6"/>
        <v>73.5</v>
      </c>
    </row>
    <row r="420" spans="1:11">
      <c r="A420" t="s">
        <v>24</v>
      </c>
      <c r="B420" t="s">
        <v>38</v>
      </c>
      <c r="C420" t="s">
        <v>18</v>
      </c>
      <c r="D420" t="s">
        <v>14</v>
      </c>
      <c r="E420" t="s">
        <v>15</v>
      </c>
      <c r="F420" s="5" t="s">
        <v>431</v>
      </c>
      <c r="G420">
        <v>28</v>
      </c>
      <c r="H420">
        <v>68</v>
      </c>
      <c r="I420">
        <v>59</v>
      </c>
      <c r="J420">
        <v>62</v>
      </c>
      <c r="K420">
        <f t="shared" si="6"/>
        <v>63.5</v>
      </c>
    </row>
    <row r="421" spans="1:11">
      <c r="A421" t="s">
        <v>24</v>
      </c>
      <c r="B421" t="s">
        <v>69</v>
      </c>
      <c r="C421" t="s">
        <v>39</v>
      </c>
      <c r="D421" t="s">
        <v>27</v>
      </c>
      <c r="E421" t="s">
        <v>19</v>
      </c>
      <c r="F421" s="5" t="s">
        <v>432</v>
      </c>
      <c r="G421">
        <v>12</v>
      </c>
      <c r="H421">
        <v>57</v>
      </c>
      <c r="I421">
        <v>56</v>
      </c>
      <c r="J421">
        <v>54</v>
      </c>
      <c r="K421">
        <f t="shared" si="6"/>
        <v>56.5</v>
      </c>
    </row>
    <row r="422" spans="1:11">
      <c r="A422" t="s">
        <v>11</v>
      </c>
      <c r="B422" t="s">
        <v>17</v>
      </c>
      <c r="C422" t="s">
        <v>26</v>
      </c>
      <c r="D422" t="s">
        <v>27</v>
      </c>
      <c r="E422" t="s">
        <v>19</v>
      </c>
      <c r="F422" s="5" t="s">
        <v>433</v>
      </c>
      <c r="G422">
        <v>26</v>
      </c>
      <c r="H422">
        <v>82</v>
      </c>
      <c r="I422">
        <v>93</v>
      </c>
      <c r="J422">
        <v>93</v>
      </c>
      <c r="K422">
        <f t="shared" si="6"/>
        <v>87.5</v>
      </c>
    </row>
    <row r="423" spans="1:11">
      <c r="A423" t="s">
        <v>11</v>
      </c>
      <c r="B423" t="s">
        <v>38</v>
      </c>
      <c r="C423" t="s">
        <v>39</v>
      </c>
      <c r="D423" t="s">
        <v>14</v>
      </c>
      <c r="E423" t="s">
        <v>19</v>
      </c>
      <c r="F423" s="5" t="s">
        <v>434</v>
      </c>
      <c r="G423">
        <v>28</v>
      </c>
      <c r="H423">
        <v>57</v>
      </c>
      <c r="I423">
        <v>58</v>
      </c>
      <c r="J423">
        <v>64</v>
      </c>
      <c r="K423">
        <f t="shared" si="6"/>
        <v>57.5</v>
      </c>
    </row>
    <row r="424" spans="1:11">
      <c r="A424" t="s">
        <v>11</v>
      </c>
      <c r="B424" t="s">
        <v>38</v>
      </c>
      <c r="C424" t="s">
        <v>22</v>
      </c>
      <c r="D424" t="s">
        <v>27</v>
      </c>
      <c r="E424" t="s">
        <v>19</v>
      </c>
      <c r="F424" s="5" t="s">
        <v>435</v>
      </c>
      <c r="G424">
        <v>15</v>
      </c>
      <c r="H424">
        <v>47</v>
      </c>
      <c r="I424">
        <v>58</v>
      </c>
      <c r="J424">
        <v>67</v>
      </c>
      <c r="K424">
        <f t="shared" si="6"/>
        <v>52.5</v>
      </c>
    </row>
    <row r="425" spans="1:11">
      <c r="A425" t="s">
        <v>11</v>
      </c>
      <c r="B425" t="s">
        <v>25</v>
      </c>
      <c r="C425" t="s">
        <v>50</v>
      </c>
      <c r="D425" t="s">
        <v>14</v>
      </c>
      <c r="E425" t="s">
        <v>19</v>
      </c>
      <c r="F425" s="5" t="s">
        <v>436</v>
      </c>
      <c r="G425">
        <v>20</v>
      </c>
      <c r="H425">
        <v>59</v>
      </c>
      <c r="I425">
        <v>85</v>
      </c>
      <c r="J425">
        <v>80</v>
      </c>
      <c r="K425">
        <f t="shared" si="6"/>
        <v>72</v>
      </c>
    </row>
    <row r="426" spans="1:11">
      <c r="A426" t="s">
        <v>24</v>
      </c>
      <c r="B426" t="s">
        <v>12</v>
      </c>
      <c r="C426" t="s">
        <v>18</v>
      </c>
      <c r="D426" t="s">
        <v>27</v>
      </c>
      <c r="E426" t="s">
        <v>15</v>
      </c>
      <c r="F426" s="5" t="s">
        <v>437</v>
      </c>
      <c r="G426">
        <v>6</v>
      </c>
      <c r="H426">
        <v>41</v>
      </c>
      <c r="I426">
        <v>39</v>
      </c>
      <c r="J426">
        <v>34</v>
      </c>
      <c r="K426">
        <f t="shared" si="6"/>
        <v>40</v>
      </c>
    </row>
    <row r="427" spans="1:11">
      <c r="A427" t="s">
        <v>11</v>
      </c>
      <c r="B427" t="s">
        <v>17</v>
      </c>
      <c r="C427" t="s">
        <v>18</v>
      </c>
      <c r="D427" t="s">
        <v>27</v>
      </c>
      <c r="E427" t="s">
        <v>15</v>
      </c>
      <c r="F427" s="5" t="s">
        <v>438</v>
      </c>
      <c r="G427">
        <v>8</v>
      </c>
      <c r="H427">
        <v>62</v>
      </c>
      <c r="I427">
        <v>67</v>
      </c>
      <c r="J427">
        <v>62</v>
      </c>
      <c r="K427">
        <f t="shared" si="6"/>
        <v>64.5</v>
      </c>
    </row>
    <row r="428" spans="1:11">
      <c r="A428" t="s">
        <v>24</v>
      </c>
      <c r="B428" t="s">
        <v>17</v>
      </c>
      <c r="C428" t="s">
        <v>13</v>
      </c>
      <c r="D428" t="s">
        <v>14</v>
      </c>
      <c r="E428" t="s">
        <v>15</v>
      </c>
      <c r="F428" s="5" t="s">
        <v>439</v>
      </c>
      <c r="G428">
        <v>10</v>
      </c>
      <c r="H428">
        <v>86</v>
      </c>
      <c r="I428">
        <v>83</v>
      </c>
      <c r="J428">
        <v>86</v>
      </c>
      <c r="K428">
        <f t="shared" si="6"/>
        <v>84.5</v>
      </c>
    </row>
    <row r="429" spans="1:11">
      <c r="A429" t="s">
        <v>24</v>
      </c>
      <c r="B429" t="s">
        <v>17</v>
      </c>
      <c r="C429" t="s">
        <v>50</v>
      </c>
      <c r="D429" t="s">
        <v>27</v>
      </c>
      <c r="E429" t="s">
        <v>15</v>
      </c>
      <c r="F429" s="5" t="s">
        <v>440</v>
      </c>
      <c r="G429">
        <v>14</v>
      </c>
      <c r="H429">
        <v>69</v>
      </c>
      <c r="I429">
        <v>71</v>
      </c>
      <c r="J429">
        <v>65</v>
      </c>
      <c r="K429">
        <f t="shared" si="6"/>
        <v>70</v>
      </c>
    </row>
    <row r="430" spans="1:11">
      <c r="A430" t="s">
        <v>24</v>
      </c>
      <c r="B430" t="s">
        <v>25</v>
      </c>
      <c r="C430" t="s">
        <v>50</v>
      </c>
      <c r="D430" t="s">
        <v>27</v>
      </c>
      <c r="E430" t="s">
        <v>15</v>
      </c>
      <c r="F430" s="5" t="s">
        <v>441</v>
      </c>
      <c r="G430">
        <v>16</v>
      </c>
      <c r="H430">
        <v>65</v>
      </c>
      <c r="I430">
        <v>59</v>
      </c>
      <c r="J430">
        <v>53</v>
      </c>
      <c r="K430">
        <f t="shared" si="6"/>
        <v>62</v>
      </c>
    </row>
    <row r="431" spans="1:11">
      <c r="A431" t="s">
        <v>24</v>
      </c>
      <c r="B431" t="s">
        <v>17</v>
      </c>
      <c r="C431" t="s">
        <v>50</v>
      </c>
      <c r="D431" t="s">
        <v>27</v>
      </c>
      <c r="E431" t="s">
        <v>15</v>
      </c>
      <c r="F431" s="5" t="s">
        <v>442</v>
      </c>
      <c r="G431">
        <v>1</v>
      </c>
      <c r="H431">
        <v>68</v>
      </c>
      <c r="I431">
        <v>63</v>
      </c>
      <c r="J431">
        <v>54</v>
      </c>
      <c r="K431">
        <f t="shared" si="6"/>
        <v>65.5</v>
      </c>
    </row>
    <row r="432" spans="1:11">
      <c r="A432" t="s">
        <v>24</v>
      </c>
      <c r="B432" t="s">
        <v>17</v>
      </c>
      <c r="C432" t="s">
        <v>26</v>
      </c>
      <c r="D432" t="s">
        <v>27</v>
      </c>
      <c r="E432" t="s">
        <v>15</v>
      </c>
      <c r="F432" s="5" t="s">
        <v>443</v>
      </c>
      <c r="G432">
        <v>1</v>
      </c>
      <c r="H432">
        <v>64</v>
      </c>
      <c r="I432">
        <v>66</v>
      </c>
      <c r="J432">
        <v>59</v>
      </c>
      <c r="K432">
        <f t="shared" si="6"/>
        <v>65</v>
      </c>
    </row>
    <row r="433" spans="1:11">
      <c r="A433" t="s">
        <v>11</v>
      </c>
      <c r="B433" t="s">
        <v>17</v>
      </c>
      <c r="C433" t="s">
        <v>39</v>
      </c>
      <c r="D433" t="s">
        <v>14</v>
      </c>
      <c r="E433" t="s">
        <v>15</v>
      </c>
      <c r="F433" s="5" t="s">
        <v>444</v>
      </c>
      <c r="G433">
        <v>28</v>
      </c>
      <c r="H433">
        <v>61</v>
      </c>
      <c r="I433">
        <v>72</v>
      </c>
      <c r="J433">
        <v>70</v>
      </c>
      <c r="K433">
        <f t="shared" si="6"/>
        <v>66.5</v>
      </c>
    </row>
    <row r="434" spans="1:11">
      <c r="A434" t="s">
        <v>24</v>
      </c>
      <c r="B434" t="s">
        <v>17</v>
      </c>
      <c r="C434" t="s">
        <v>39</v>
      </c>
      <c r="D434" t="s">
        <v>14</v>
      </c>
      <c r="E434" t="s">
        <v>15</v>
      </c>
      <c r="F434" s="5" t="s">
        <v>445</v>
      </c>
      <c r="G434">
        <v>26</v>
      </c>
      <c r="H434">
        <v>61</v>
      </c>
      <c r="I434">
        <v>56</v>
      </c>
      <c r="J434">
        <v>55</v>
      </c>
      <c r="K434">
        <f t="shared" si="6"/>
        <v>58.5</v>
      </c>
    </row>
    <row r="435" spans="1:11">
      <c r="A435" t="s">
        <v>11</v>
      </c>
      <c r="B435" t="s">
        <v>25</v>
      </c>
      <c r="C435" t="s">
        <v>50</v>
      </c>
      <c r="D435" t="s">
        <v>27</v>
      </c>
      <c r="E435" t="s">
        <v>15</v>
      </c>
      <c r="F435" s="5" t="s">
        <v>446</v>
      </c>
      <c r="G435">
        <v>3</v>
      </c>
      <c r="H435">
        <v>47</v>
      </c>
      <c r="I435">
        <v>59</v>
      </c>
      <c r="J435">
        <v>50</v>
      </c>
      <c r="K435">
        <f t="shared" si="6"/>
        <v>53</v>
      </c>
    </row>
    <row r="436" spans="1:11">
      <c r="A436" t="s">
        <v>24</v>
      </c>
      <c r="B436" t="s">
        <v>17</v>
      </c>
      <c r="C436" t="s">
        <v>50</v>
      </c>
      <c r="D436" t="s">
        <v>14</v>
      </c>
      <c r="E436" t="s">
        <v>15</v>
      </c>
      <c r="F436">
        <v>8.5000482819999998</v>
      </c>
      <c r="G436">
        <v>29</v>
      </c>
      <c r="H436">
        <v>73</v>
      </c>
      <c r="I436">
        <v>66</v>
      </c>
      <c r="J436">
        <v>66</v>
      </c>
      <c r="K436">
        <f t="shared" si="6"/>
        <v>69.5</v>
      </c>
    </row>
    <row r="437" spans="1:11">
      <c r="A437" t="s">
        <v>24</v>
      </c>
      <c r="B437" t="s">
        <v>17</v>
      </c>
      <c r="C437" t="s">
        <v>18</v>
      </c>
      <c r="D437" t="s">
        <v>27</v>
      </c>
      <c r="E437" t="s">
        <v>19</v>
      </c>
      <c r="F437" s="5" t="s">
        <v>447</v>
      </c>
      <c r="G437">
        <v>17</v>
      </c>
      <c r="H437">
        <v>50</v>
      </c>
      <c r="I437">
        <v>48</v>
      </c>
      <c r="J437">
        <v>53</v>
      </c>
      <c r="K437">
        <f t="shared" si="6"/>
        <v>49</v>
      </c>
    </row>
    <row r="438" spans="1:11">
      <c r="A438" t="s">
        <v>24</v>
      </c>
      <c r="B438" t="s">
        <v>38</v>
      </c>
      <c r="C438" t="s">
        <v>26</v>
      </c>
      <c r="D438" t="s">
        <v>14</v>
      </c>
      <c r="E438" t="s">
        <v>15</v>
      </c>
      <c r="F438">
        <v>6.5994979059999999</v>
      </c>
      <c r="G438">
        <v>19</v>
      </c>
      <c r="H438">
        <v>75</v>
      </c>
      <c r="I438">
        <v>68</v>
      </c>
      <c r="J438">
        <v>64</v>
      </c>
      <c r="K438">
        <f t="shared" si="6"/>
        <v>71.5</v>
      </c>
    </row>
    <row r="439" spans="1:11">
      <c r="A439" t="s">
        <v>24</v>
      </c>
      <c r="B439" t="s">
        <v>38</v>
      </c>
      <c r="C439" t="s">
        <v>26</v>
      </c>
      <c r="D439" t="s">
        <v>27</v>
      </c>
      <c r="E439" t="s">
        <v>15</v>
      </c>
      <c r="F439" s="5" t="s">
        <v>448</v>
      </c>
      <c r="G439">
        <v>27</v>
      </c>
      <c r="H439">
        <v>75</v>
      </c>
      <c r="I439">
        <v>66</v>
      </c>
      <c r="J439">
        <v>73</v>
      </c>
      <c r="K439">
        <f t="shared" si="6"/>
        <v>70.5</v>
      </c>
    </row>
    <row r="440" spans="1:11">
      <c r="A440" t="s">
        <v>24</v>
      </c>
      <c r="B440" t="s">
        <v>17</v>
      </c>
      <c r="C440" t="s">
        <v>39</v>
      </c>
      <c r="D440" t="s">
        <v>14</v>
      </c>
      <c r="E440" t="s">
        <v>15</v>
      </c>
      <c r="F440" s="5" t="s">
        <v>449</v>
      </c>
      <c r="G440">
        <v>15</v>
      </c>
      <c r="H440">
        <v>70</v>
      </c>
      <c r="I440">
        <v>56</v>
      </c>
      <c r="J440">
        <v>51</v>
      </c>
      <c r="K440">
        <f t="shared" si="6"/>
        <v>63</v>
      </c>
    </row>
    <row r="441" spans="1:11">
      <c r="A441" t="s">
        <v>24</v>
      </c>
      <c r="B441" t="s">
        <v>38</v>
      </c>
      <c r="C441" t="s">
        <v>50</v>
      </c>
      <c r="D441" t="s">
        <v>14</v>
      </c>
      <c r="E441" t="s">
        <v>19</v>
      </c>
      <c r="F441" s="5" t="s">
        <v>450</v>
      </c>
      <c r="G441">
        <v>20</v>
      </c>
      <c r="H441">
        <v>89</v>
      </c>
      <c r="I441">
        <v>88</v>
      </c>
      <c r="J441">
        <v>82</v>
      </c>
      <c r="K441">
        <f t="shared" si="6"/>
        <v>88.5</v>
      </c>
    </row>
    <row r="442" spans="1:11">
      <c r="A442" t="s">
        <v>11</v>
      </c>
      <c r="B442" t="s">
        <v>17</v>
      </c>
      <c r="C442" t="s">
        <v>18</v>
      </c>
      <c r="D442" t="s">
        <v>14</v>
      </c>
      <c r="E442" t="s">
        <v>19</v>
      </c>
      <c r="F442" s="5" t="s">
        <v>451</v>
      </c>
      <c r="G442">
        <v>15</v>
      </c>
      <c r="H442">
        <v>67</v>
      </c>
      <c r="I442">
        <v>81</v>
      </c>
      <c r="J442">
        <v>79</v>
      </c>
      <c r="K442">
        <f t="shared" si="6"/>
        <v>74</v>
      </c>
    </row>
    <row r="443" spans="1:11">
      <c r="A443" t="s">
        <v>11</v>
      </c>
      <c r="B443" t="s">
        <v>38</v>
      </c>
      <c r="C443" t="s">
        <v>39</v>
      </c>
      <c r="D443" t="s">
        <v>14</v>
      </c>
      <c r="E443" t="s">
        <v>15</v>
      </c>
      <c r="F443">
        <v>13.765859969999999</v>
      </c>
      <c r="G443">
        <v>27</v>
      </c>
      <c r="H443">
        <v>78</v>
      </c>
      <c r="I443">
        <v>81</v>
      </c>
      <c r="J443">
        <v>80</v>
      </c>
      <c r="K443">
        <f t="shared" si="6"/>
        <v>79.5</v>
      </c>
    </row>
    <row r="444" spans="1:11">
      <c r="A444" t="s">
        <v>11</v>
      </c>
      <c r="B444" t="s">
        <v>25</v>
      </c>
      <c r="C444" t="s">
        <v>50</v>
      </c>
      <c r="D444" t="s">
        <v>27</v>
      </c>
      <c r="E444" t="s">
        <v>15</v>
      </c>
      <c r="F444" s="5" t="s">
        <v>452</v>
      </c>
      <c r="G444">
        <v>11</v>
      </c>
      <c r="H444">
        <v>59</v>
      </c>
      <c r="I444">
        <v>73</v>
      </c>
      <c r="J444">
        <v>69</v>
      </c>
      <c r="K444">
        <f t="shared" si="6"/>
        <v>66</v>
      </c>
    </row>
    <row r="445" spans="1:11">
      <c r="A445" t="s">
        <v>11</v>
      </c>
      <c r="B445" t="s">
        <v>12</v>
      </c>
      <c r="C445" t="s">
        <v>26</v>
      </c>
      <c r="D445" t="s">
        <v>14</v>
      </c>
      <c r="E445" t="s">
        <v>15</v>
      </c>
      <c r="F445" s="5" t="s">
        <v>453</v>
      </c>
      <c r="G445">
        <v>21</v>
      </c>
      <c r="H445">
        <v>73</v>
      </c>
      <c r="I445">
        <v>83</v>
      </c>
      <c r="J445">
        <v>76</v>
      </c>
      <c r="K445">
        <f t="shared" si="6"/>
        <v>78</v>
      </c>
    </row>
    <row r="446" spans="1:11">
      <c r="A446" t="s">
        <v>24</v>
      </c>
      <c r="B446" t="s">
        <v>25</v>
      </c>
      <c r="C446" t="s">
        <v>50</v>
      </c>
      <c r="D446" t="s">
        <v>27</v>
      </c>
      <c r="E446" t="s">
        <v>15</v>
      </c>
      <c r="F446" s="5" t="s">
        <v>454</v>
      </c>
      <c r="G446">
        <v>15</v>
      </c>
      <c r="H446">
        <v>79</v>
      </c>
      <c r="I446">
        <v>82</v>
      </c>
      <c r="J446">
        <v>73</v>
      </c>
      <c r="K446">
        <f t="shared" si="6"/>
        <v>80.5</v>
      </c>
    </row>
    <row r="447" spans="1:11">
      <c r="A447" t="s">
        <v>11</v>
      </c>
      <c r="B447" t="s">
        <v>17</v>
      </c>
      <c r="C447" t="s">
        <v>50</v>
      </c>
      <c r="D447" t="s">
        <v>14</v>
      </c>
      <c r="E447" t="s">
        <v>19</v>
      </c>
      <c r="F447" s="5" t="s">
        <v>455</v>
      </c>
      <c r="G447">
        <v>3</v>
      </c>
      <c r="H447">
        <v>67</v>
      </c>
      <c r="I447">
        <v>74</v>
      </c>
      <c r="J447">
        <v>77</v>
      </c>
      <c r="K447">
        <f t="shared" si="6"/>
        <v>70.5</v>
      </c>
    </row>
    <row r="448" spans="1:11">
      <c r="A448" t="s">
        <v>24</v>
      </c>
      <c r="B448" t="s">
        <v>38</v>
      </c>
      <c r="C448" t="s">
        <v>18</v>
      </c>
      <c r="D448" t="s">
        <v>27</v>
      </c>
      <c r="E448" t="s">
        <v>15</v>
      </c>
      <c r="F448" s="5" t="s">
        <v>456</v>
      </c>
      <c r="G448">
        <v>3</v>
      </c>
      <c r="H448">
        <v>69</v>
      </c>
      <c r="I448">
        <v>66</v>
      </c>
      <c r="J448">
        <v>60</v>
      </c>
      <c r="K448">
        <f t="shared" si="6"/>
        <v>67.5</v>
      </c>
    </row>
    <row r="449" spans="1:11">
      <c r="A449" t="s">
        <v>24</v>
      </c>
      <c r="B449" t="s">
        <v>17</v>
      </c>
      <c r="C449" t="s">
        <v>39</v>
      </c>
      <c r="D449" t="s">
        <v>14</v>
      </c>
      <c r="E449" t="s">
        <v>19</v>
      </c>
      <c r="F449" s="5" t="s">
        <v>457</v>
      </c>
      <c r="G449">
        <v>28</v>
      </c>
      <c r="H449">
        <v>86</v>
      </c>
      <c r="I449">
        <v>81</v>
      </c>
      <c r="J449">
        <v>80</v>
      </c>
      <c r="K449">
        <f t="shared" si="6"/>
        <v>83.5</v>
      </c>
    </row>
    <row r="450" spans="1:11">
      <c r="A450" t="s">
        <v>24</v>
      </c>
      <c r="B450" t="s">
        <v>12</v>
      </c>
      <c r="C450" t="s">
        <v>39</v>
      </c>
      <c r="D450" t="s">
        <v>14</v>
      </c>
      <c r="E450" t="s">
        <v>15</v>
      </c>
      <c r="F450" s="5" t="s">
        <v>458</v>
      </c>
      <c r="G450">
        <v>11</v>
      </c>
      <c r="H450">
        <v>47</v>
      </c>
      <c r="I450">
        <v>46</v>
      </c>
      <c r="J450">
        <v>42</v>
      </c>
      <c r="K450">
        <f t="shared" si="6"/>
        <v>46.5</v>
      </c>
    </row>
    <row r="451" spans="1:11">
      <c r="A451" t="s">
        <v>24</v>
      </c>
      <c r="B451" t="s">
        <v>12</v>
      </c>
      <c r="C451" t="s">
        <v>26</v>
      </c>
      <c r="D451" t="s">
        <v>14</v>
      </c>
      <c r="E451" t="s">
        <v>15</v>
      </c>
      <c r="F451" s="5" t="s">
        <v>459</v>
      </c>
      <c r="G451">
        <v>5</v>
      </c>
      <c r="H451">
        <v>81</v>
      </c>
      <c r="I451">
        <v>73</v>
      </c>
      <c r="J451">
        <v>72</v>
      </c>
      <c r="K451">
        <f t="shared" ref="K451:K514" si="7">(H451+I451)/2</f>
        <v>77</v>
      </c>
    </row>
    <row r="452" spans="1:11">
      <c r="A452" t="s">
        <v>11</v>
      </c>
      <c r="B452" t="s">
        <v>17</v>
      </c>
      <c r="C452" t="s">
        <v>18</v>
      </c>
      <c r="D452" t="s">
        <v>27</v>
      </c>
      <c r="E452" t="s">
        <v>19</v>
      </c>
      <c r="F452" s="5" t="s">
        <v>460</v>
      </c>
      <c r="G452">
        <v>14</v>
      </c>
      <c r="H452">
        <v>64</v>
      </c>
      <c r="I452">
        <v>85</v>
      </c>
      <c r="J452">
        <v>85</v>
      </c>
      <c r="K452">
        <f t="shared" si="7"/>
        <v>74.5</v>
      </c>
    </row>
    <row r="453" spans="1:11">
      <c r="A453" t="s">
        <v>11</v>
      </c>
      <c r="B453" t="s">
        <v>69</v>
      </c>
      <c r="C453" t="s">
        <v>18</v>
      </c>
      <c r="D453" t="s">
        <v>14</v>
      </c>
      <c r="E453" t="s">
        <v>15</v>
      </c>
      <c r="F453" s="5" t="s">
        <v>461</v>
      </c>
      <c r="G453">
        <v>14</v>
      </c>
      <c r="H453">
        <v>100</v>
      </c>
      <c r="I453">
        <v>92</v>
      </c>
      <c r="J453">
        <v>97</v>
      </c>
      <c r="K453">
        <f t="shared" si="7"/>
        <v>96</v>
      </c>
    </row>
    <row r="454" spans="1:11">
      <c r="A454" t="s">
        <v>11</v>
      </c>
      <c r="B454" t="s">
        <v>17</v>
      </c>
      <c r="C454" t="s">
        <v>26</v>
      </c>
      <c r="D454" t="s">
        <v>27</v>
      </c>
      <c r="E454" t="s">
        <v>15</v>
      </c>
      <c r="F454" s="5" t="s">
        <v>462</v>
      </c>
      <c r="G454">
        <v>29</v>
      </c>
      <c r="H454">
        <v>65</v>
      </c>
      <c r="I454">
        <v>77</v>
      </c>
      <c r="J454">
        <v>74</v>
      </c>
      <c r="K454">
        <f t="shared" si="7"/>
        <v>71</v>
      </c>
    </row>
    <row r="455" spans="1:11">
      <c r="A455" t="s">
        <v>24</v>
      </c>
      <c r="B455" t="s">
        <v>17</v>
      </c>
      <c r="C455" t="s">
        <v>18</v>
      </c>
      <c r="D455" t="s">
        <v>27</v>
      </c>
      <c r="E455" t="s">
        <v>15</v>
      </c>
      <c r="F455">
        <v>6.153101747</v>
      </c>
      <c r="G455">
        <v>12</v>
      </c>
      <c r="H455">
        <v>65</v>
      </c>
      <c r="I455">
        <v>58</v>
      </c>
      <c r="J455">
        <v>49</v>
      </c>
      <c r="K455">
        <f t="shared" si="7"/>
        <v>61.5</v>
      </c>
    </row>
    <row r="456" spans="1:11">
      <c r="A456" t="s">
        <v>11</v>
      </c>
      <c r="B456" t="s">
        <v>17</v>
      </c>
      <c r="C456" t="s">
        <v>26</v>
      </c>
      <c r="D456" t="s">
        <v>27</v>
      </c>
      <c r="E456" t="s">
        <v>15</v>
      </c>
      <c r="F456" s="5" t="s">
        <v>463</v>
      </c>
      <c r="G456">
        <v>16</v>
      </c>
      <c r="H456">
        <v>53</v>
      </c>
      <c r="I456">
        <v>61</v>
      </c>
      <c r="J456">
        <v>62</v>
      </c>
      <c r="K456">
        <f t="shared" si="7"/>
        <v>57</v>
      </c>
    </row>
    <row r="457" spans="1:11">
      <c r="A457" t="s">
        <v>24</v>
      </c>
      <c r="B457" t="s">
        <v>17</v>
      </c>
      <c r="C457" t="s">
        <v>13</v>
      </c>
      <c r="D457" t="s">
        <v>27</v>
      </c>
      <c r="E457" t="s">
        <v>15</v>
      </c>
      <c r="F457" s="5" t="s">
        <v>464</v>
      </c>
      <c r="G457">
        <v>6</v>
      </c>
      <c r="H457">
        <v>37</v>
      </c>
      <c r="I457">
        <v>56</v>
      </c>
      <c r="J457">
        <v>47</v>
      </c>
      <c r="K457">
        <f t="shared" si="7"/>
        <v>46.5</v>
      </c>
    </row>
    <row r="458" spans="1:11">
      <c r="A458" t="s">
        <v>11</v>
      </c>
      <c r="B458" t="s">
        <v>38</v>
      </c>
      <c r="C458" t="s">
        <v>13</v>
      </c>
      <c r="D458" t="s">
        <v>14</v>
      </c>
      <c r="E458" t="s">
        <v>15</v>
      </c>
      <c r="F458" s="5" t="s">
        <v>465</v>
      </c>
      <c r="G458">
        <v>15</v>
      </c>
      <c r="H458">
        <v>79</v>
      </c>
      <c r="I458">
        <v>89</v>
      </c>
      <c r="J458">
        <v>89</v>
      </c>
      <c r="K458">
        <f t="shared" si="7"/>
        <v>84</v>
      </c>
    </row>
    <row r="459" spans="1:11">
      <c r="A459" t="s">
        <v>24</v>
      </c>
      <c r="B459" t="s">
        <v>38</v>
      </c>
      <c r="C459" t="s">
        <v>26</v>
      </c>
      <c r="D459" t="s">
        <v>27</v>
      </c>
      <c r="E459" t="s">
        <v>15</v>
      </c>
      <c r="F459" s="5" t="s">
        <v>466</v>
      </c>
      <c r="G459">
        <v>26</v>
      </c>
      <c r="H459">
        <v>53</v>
      </c>
      <c r="I459">
        <v>54</v>
      </c>
      <c r="J459">
        <v>48</v>
      </c>
      <c r="K459">
        <f t="shared" si="7"/>
        <v>53.5</v>
      </c>
    </row>
    <row r="460" spans="1:11">
      <c r="A460" t="s">
        <v>11</v>
      </c>
      <c r="B460" t="s">
        <v>69</v>
      </c>
      <c r="C460" t="s">
        <v>13</v>
      </c>
      <c r="D460" t="s">
        <v>14</v>
      </c>
      <c r="E460" t="s">
        <v>15</v>
      </c>
      <c r="F460" s="5" t="s">
        <v>467</v>
      </c>
      <c r="G460">
        <v>22</v>
      </c>
      <c r="H460">
        <v>100</v>
      </c>
      <c r="I460">
        <v>100</v>
      </c>
      <c r="J460">
        <v>100</v>
      </c>
      <c r="K460">
        <f t="shared" si="7"/>
        <v>100</v>
      </c>
    </row>
    <row r="461" spans="1:11">
      <c r="A461" t="s">
        <v>24</v>
      </c>
      <c r="B461" t="s">
        <v>12</v>
      </c>
      <c r="C461" t="s">
        <v>39</v>
      </c>
      <c r="D461" t="s">
        <v>14</v>
      </c>
      <c r="E461" t="s">
        <v>19</v>
      </c>
      <c r="F461" s="5" t="s">
        <v>468</v>
      </c>
      <c r="G461">
        <v>19</v>
      </c>
      <c r="H461">
        <v>72</v>
      </c>
      <c r="I461">
        <v>65</v>
      </c>
      <c r="J461">
        <v>68</v>
      </c>
      <c r="K461">
        <f t="shared" si="7"/>
        <v>68.5</v>
      </c>
    </row>
    <row r="462" spans="1:11">
      <c r="A462" t="s">
        <v>24</v>
      </c>
      <c r="B462" t="s">
        <v>17</v>
      </c>
      <c r="C462" t="s">
        <v>13</v>
      </c>
      <c r="D462" t="s">
        <v>27</v>
      </c>
      <c r="E462" t="s">
        <v>15</v>
      </c>
      <c r="F462" s="5" t="s">
        <v>469</v>
      </c>
      <c r="G462">
        <v>24</v>
      </c>
      <c r="H462">
        <v>53</v>
      </c>
      <c r="I462">
        <v>58</v>
      </c>
      <c r="J462">
        <v>55</v>
      </c>
      <c r="K462">
        <f t="shared" si="7"/>
        <v>55.5</v>
      </c>
    </row>
    <row r="463" spans="1:11">
      <c r="A463" t="s">
        <v>24</v>
      </c>
      <c r="B463" t="s">
        <v>12</v>
      </c>
      <c r="C463" t="s">
        <v>18</v>
      </c>
      <c r="D463" t="s">
        <v>27</v>
      </c>
      <c r="E463" t="s">
        <v>15</v>
      </c>
      <c r="F463" s="5" t="s">
        <v>470</v>
      </c>
      <c r="G463">
        <v>10</v>
      </c>
      <c r="H463">
        <v>54</v>
      </c>
      <c r="I463">
        <v>54</v>
      </c>
      <c r="J463">
        <v>45</v>
      </c>
      <c r="K463">
        <f t="shared" si="7"/>
        <v>54</v>
      </c>
    </row>
    <row r="464" spans="1:11">
      <c r="A464" t="s">
        <v>11</v>
      </c>
      <c r="B464" t="s">
        <v>69</v>
      </c>
      <c r="C464" t="s">
        <v>18</v>
      </c>
      <c r="D464" t="s">
        <v>14</v>
      </c>
      <c r="E464" t="s">
        <v>15</v>
      </c>
      <c r="F464" s="5" t="s">
        <v>471</v>
      </c>
      <c r="G464">
        <v>0</v>
      </c>
      <c r="H464">
        <v>71</v>
      </c>
      <c r="I464">
        <v>70</v>
      </c>
      <c r="J464">
        <v>76</v>
      </c>
      <c r="K464">
        <f t="shared" si="7"/>
        <v>70.5</v>
      </c>
    </row>
    <row r="465" spans="1:11">
      <c r="A465" t="s">
        <v>11</v>
      </c>
      <c r="B465" t="s">
        <v>17</v>
      </c>
      <c r="C465" t="s">
        <v>18</v>
      </c>
      <c r="D465" t="s">
        <v>27</v>
      </c>
      <c r="E465" t="s">
        <v>15</v>
      </c>
      <c r="F465" s="5" t="s">
        <v>472</v>
      </c>
      <c r="G465">
        <v>4</v>
      </c>
      <c r="H465">
        <v>77</v>
      </c>
      <c r="I465">
        <v>90</v>
      </c>
      <c r="J465">
        <v>91</v>
      </c>
      <c r="K465">
        <f t="shared" si="7"/>
        <v>83.5</v>
      </c>
    </row>
    <row r="466" spans="1:11">
      <c r="A466" t="s">
        <v>24</v>
      </c>
      <c r="B466" t="s">
        <v>25</v>
      </c>
      <c r="C466" t="s">
        <v>13</v>
      </c>
      <c r="D466" t="s">
        <v>14</v>
      </c>
      <c r="E466" t="s">
        <v>19</v>
      </c>
      <c r="F466" s="5" t="s">
        <v>473</v>
      </c>
      <c r="G466">
        <v>7</v>
      </c>
      <c r="H466">
        <v>75</v>
      </c>
      <c r="I466">
        <v>58</v>
      </c>
      <c r="J466">
        <v>62</v>
      </c>
      <c r="K466">
        <f t="shared" si="7"/>
        <v>66.5</v>
      </c>
    </row>
    <row r="467" spans="1:11">
      <c r="A467" t="s">
        <v>11</v>
      </c>
      <c r="B467" t="s">
        <v>17</v>
      </c>
      <c r="C467" t="s">
        <v>18</v>
      </c>
      <c r="D467" t="s">
        <v>14</v>
      </c>
      <c r="E467" t="s">
        <v>15</v>
      </c>
      <c r="F467" s="5" t="s">
        <v>474</v>
      </c>
      <c r="G467">
        <v>27</v>
      </c>
      <c r="H467">
        <v>84</v>
      </c>
      <c r="I467">
        <v>87</v>
      </c>
      <c r="J467">
        <v>91</v>
      </c>
      <c r="K467">
        <f t="shared" si="7"/>
        <v>85.5</v>
      </c>
    </row>
    <row r="468" spans="1:11">
      <c r="A468" t="s">
        <v>11</v>
      </c>
      <c r="B468" t="s">
        <v>38</v>
      </c>
      <c r="C468" t="s">
        <v>26</v>
      </c>
      <c r="D468" t="s">
        <v>27</v>
      </c>
      <c r="E468" t="s">
        <v>15</v>
      </c>
      <c r="F468" s="5" t="s">
        <v>475</v>
      </c>
      <c r="G468">
        <v>14</v>
      </c>
      <c r="H468">
        <v>26</v>
      </c>
      <c r="I468">
        <v>31</v>
      </c>
      <c r="J468">
        <v>38</v>
      </c>
      <c r="K468">
        <f t="shared" si="7"/>
        <v>28.5</v>
      </c>
    </row>
    <row r="469" spans="1:11">
      <c r="A469" t="s">
        <v>24</v>
      </c>
      <c r="B469" t="s">
        <v>25</v>
      </c>
      <c r="C469" t="s">
        <v>39</v>
      </c>
      <c r="D469" t="s">
        <v>27</v>
      </c>
      <c r="E469" t="s">
        <v>19</v>
      </c>
      <c r="F469" s="5" t="s">
        <v>476</v>
      </c>
      <c r="G469">
        <v>13</v>
      </c>
      <c r="H469">
        <v>72</v>
      </c>
      <c r="I469">
        <v>67</v>
      </c>
      <c r="J469">
        <v>65</v>
      </c>
      <c r="K469">
        <f t="shared" si="7"/>
        <v>69.5</v>
      </c>
    </row>
    <row r="470" spans="1:11">
      <c r="A470" t="s">
        <v>11</v>
      </c>
      <c r="B470" t="s">
        <v>25</v>
      </c>
      <c r="C470" t="s">
        <v>39</v>
      </c>
      <c r="D470" t="s">
        <v>27</v>
      </c>
      <c r="E470" t="s">
        <v>19</v>
      </c>
      <c r="F470" s="5" t="s">
        <v>477</v>
      </c>
      <c r="G470">
        <v>22</v>
      </c>
      <c r="H470">
        <v>77</v>
      </c>
      <c r="I470">
        <v>88</v>
      </c>
      <c r="J470">
        <v>85</v>
      </c>
      <c r="K470">
        <f t="shared" si="7"/>
        <v>82.5</v>
      </c>
    </row>
    <row r="471" spans="1:11">
      <c r="A471" t="s">
        <v>24</v>
      </c>
      <c r="B471" t="s">
        <v>17</v>
      </c>
      <c r="C471" t="s">
        <v>18</v>
      </c>
      <c r="D471" t="s">
        <v>14</v>
      </c>
      <c r="E471" t="s">
        <v>15</v>
      </c>
      <c r="F471" s="5" t="s">
        <v>478</v>
      </c>
      <c r="G471">
        <v>6</v>
      </c>
      <c r="H471">
        <v>91</v>
      </c>
      <c r="I471">
        <v>74</v>
      </c>
      <c r="J471">
        <v>76</v>
      </c>
      <c r="K471">
        <f t="shared" si="7"/>
        <v>82.5</v>
      </c>
    </row>
    <row r="472" spans="1:11">
      <c r="A472" t="s">
        <v>11</v>
      </c>
      <c r="B472" t="s">
        <v>17</v>
      </c>
      <c r="C472" t="s">
        <v>26</v>
      </c>
      <c r="D472" t="s">
        <v>14</v>
      </c>
      <c r="E472" t="s">
        <v>19</v>
      </c>
      <c r="F472" s="5" t="s">
        <v>479</v>
      </c>
      <c r="G472">
        <v>18</v>
      </c>
      <c r="H472">
        <v>83</v>
      </c>
      <c r="I472">
        <v>85</v>
      </c>
      <c r="J472">
        <v>90</v>
      </c>
      <c r="K472">
        <f t="shared" si="7"/>
        <v>84</v>
      </c>
    </row>
    <row r="473" spans="1:11">
      <c r="A473" t="s">
        <v>11</v>
      </c>
      <c r="B473" t="s">
        <v>17</v>
      </c>
      <c r="C473" t="s">
        <v>39</v>
      </c>
      <c r="D473" t="s">
        <v>14</v>
      </c>
      <c r="E473" t="s">
        <v>15</v>
      </c>
      <c r="F473" s="5" t="s">
        <v>480</v>
      </c>
      <c r="G473">
        <v>11</v>
      </c>
      <c r="H473">
        <v>63</v>
      </c>
      <c r="I473">
        <v>69</v>
      </c>
      <c r="J473">
        <v>74</v>
      </c>
      <c r="K473">
        <f t="shared" si="7"/>
        <v>66</v>
      </c>
    </row>
    <row r="474" spans="1:11">
      <c r="A474" t="s">
        <v>11</v>
      </c>
      <c r="B474" t="s">
        <v>17</v>
      </c>
      <c r="C474" t="s">
        <v>26</v>
      </c>
      <c r="D474" t="s">
        <v>14</v>
      </c>
      <c r="E474" t="s">
        <v>19</v>
      </c>
      <c r="F474" s="5" t="s">
        <v>481</v>
      </c>
      <c r="G474">
        <v>18</v>
      </c>
      <c r="H474">
        <v>68</v>
      </c>
      <c r="I474">
        <v>86</v>
      </c>
      <c r="J474">
        <v>84</v>
      </c>
      <c r="K474">
        <f t="shared" si="7"/>
        <v>77</v>
      </c>
    </row>
    <row r="475" spans="1:11">
      <c r="A475" t="s">
        <v>11</v>
      </c>
      <c r="B475" t="s">
        <v>38</v>
      </c>
      <c r="C475" t="s">
        <v>50</v>
      </c>
      <c r="D475" t="s">
        <v>14</v>
      </c>
      <c r="E475" t="s">
        <v>15</v>
      </c>
      <c r="F475" s="5" t="s">
        <v>482</v>
      </c>
      <c r="G475">
        <v>29</v>
      </c>
      <c r="H475">
        <v>59</v>
      </c>
      <c r="I475">
        <v>67</v>
      </c>
      <c r="J475">
        <v>61</v>
      </c>
      <c r="K475">
        <f t="shared" si="7"/>
        <v>63</v>
      </c>
    </row>
    <row r="476" spans="1:11">
      <c r="A476" t="s">
        <v>11</v>
      </c>
      <c r="B476" t="s">
        <v>12</v>
      </c>
      <c r="C476" t="s">
        <v>26</v>
      </c>
      <c r="D476" t="s">
        <v>14</v>
      </c>
      <c r="E476" t="s">
        <v>19</v>
      </c>
      <c r="F476">
        <v>6.4580213720000001</v>
      </c>
      <c r="G476">
        <v>17</v>
      </c>
      <c r="H476">
        <v>90</v>
      </c>
      <c r="I476">
        <v>90</v>
      </c>
      <c r="J476">
        <v>91</v>
      </c>
      <c r="K476">
        <f t="shared" si="7"/>
        <v>90</v>
      </c>
    </row>
    <row r="477" spans="1:11">
      <c r="A477" t="s">
        <v>11</v>
      </c>
      <c r="B477" t="s">
        <v>38</v>
      </c>
      <c r="C477" t="s">
        <v>13</v>
      </c>
      <c r="D477" t="s">
        <v>14</v>
      </c>
      <c r="E477" t="s">
        <v>19</v>
      </c>
      <c r="F477" s="5" t="s">
        <v>483</v>
      </c>
      <c r="G477">
        <v>1</v>
      </c>
      <c r="H477">
        <v>71</v>
      </c>
      <c r="I477">
        <v>76</v>
      </c>
      <c r="J477">
        <v>83</v>
      </c>
      <c r="K477">
        <f t="shared" si="7"/>
        <v>73.5</v>
      </c>
    </row>
    <row r="478" spans="1:11">
      <c r="A478" t="s">
        <v>24</v>
      </c>
      <c r="B478" t="s">
        <v>69</v>
      </c>
      <c r="C478" t="s">
        <v>13</v>
      </c>
      <c r="D478" t="s">
        <v>14</v>
      </c>
      <c r="E478" t="s">
        <v>19</v>
      </c>
      <c r="F478" s="5" t="s">
        <v>484</v>
      </c>
      <c r="G478">
        <v>19</v>
      </c>
      <c r="H478">
        <v>76</v>
      </c>
      <c r="I478">
        <v>62</v>
      </c>
      <c r="J478">
        <v>66</v>
      </c>
      <c r="K478">
        <f t="shared" si="7"/>
        <v>69</v>
      </c>
    </row>
    <row r="479" spans="1:11">
      <c r="A479" t="s">
        <v>24</v>
      </c>
      <c r="B479" t="s">
        <v>38</v>
      </c>
      <c r="C479" t="s">
        <v>26</v>
      </c>
      <c r="D479" t="s">
        <v>14</v>
      </c>
      <c r="E479" t="s">
        <v>15</v>
      </c>
      <c r="F479" s="5" t="s">
        <v>485</v>
      </c>
      <c r="G479">
        <v>14</v>
      </c>
      <c r="H479">
        <v>80</v>
      </c>
      <c r="I479">
        <v>68</v>
      </c>
      <c r="J479">
        <v>72</v>
      </c>
      <c r="K479">
        <f t="shared" si="7"/>
        <v>74</v>
      </c>
    </row>
    <row r="480" spans="1:11">
      <c r="A480" t="s">
        <v>11</v>
      </c>
      <c r="B480" t="s">
        <v>38</v>
      </c>
      <c r="C480" t="s">
        <v>22</v>
      </c>
      <c r="D480" t="s">
        <v>14</v>
      </c>
      <c r="E480" t="s">
        <v>15</v>
      </c>
      <c r="F480" s="5" t="s">
        <v>486</v>
      </c>
      <c r="G480">
        <v>16</v>
      </c>
      <c r="H480">
        <v>55</v>
      </c>
      <c r="I480">
        <v>64</v>
      </c>
      <c r="J480">
        <v>70</v>
      </c>
      <c r="K480">
        <f t="shared" si="7"/>
        <v>59.5</v>
      </c>
    </row>
    <row r="481" spans="1:11">
      <c r="A481" t="s">
        <v>24</v>
      </c>
      <c r="B481" t="s">
        <v>69</v>
      </c>
      <c r="C481" t="s">
        <v>26</v>
      </c>
      <c r="D481" t="s">
        <v>14</v>
      </c>
      <c r="E481" t="s">
        <v>15</v>
      </c>
      <c r="F481" s="5" t="s">
        <v>487</v>
      </c>
      <c r="G481">
        <v>20</v>
      </c>
      <c r="H481">
        <v>76</v>
      </c>
      <c r="I481">
        <v>71</v>
      </c>
      <c r="J481">
        <v>67</v>
      </c>
      <c r="K481">
        <f t="shared" si="7"/>
        <v>73.5</v>
      </c>
    </row>
    <row r="482" spans="1:11">
      <c r="A482" t="s">
        <v>24</v>
      </c>
      <c r="B482" t="s">
        <v>12</v>
      </c>
      <c r="C482" t="s">
        <v>39</v>
      </c>
      <c r="D482" t="s">
        <v>14</v>
      </c>
      <c r="E482" t="s">
        <v>19</v>
      </c>
      <c r="F482" s="5" t="s">
        <v>488</v>
      </c>
      <c r="G482">
        <v>27</v>
      </c>
      <c r="H482">
        <v>73</v>
      </c>
      <c r="I482">
        <v>71</v>
      </c>
      <c r="J482">
        <v>68</v>
      </c>
      <c r="K482">
        <f t="shared" si="7"/>
        <v>72</v>
      </c>
    </row>
    <row r="483" spans="1:11">
      <c r="A483" t="s">
        <v>11</v>
      </c>
      <c r="B483" t="s">
        <v>38</v>
      </c>
      <c r="C483" t="s">
        <v>26</v>
      </c>
      <c r="D483" t="s">
        <v>27</v>
      </c>
      <c r="E483" t="s">
        <v>15</v>
      </c>
      <c r="F483" s="5" t="s">
        <v>489</v>
      </c>
      <c r="G483">
        <v>26</v>
      </c>
      <c r="H483">
        <v>52</v>
      </c>
      <c r="I483">
        <v>59</v>
      </c>
      <c r="J483">
        <v>56</v>
      </c>
      <c r="K483">
        <f t="shared" si="7"/>
        <v>55.5</v>
      </c>
    </row>
    <row r="484" spans="1:11">
      <c r="A484" t="s">
        <v>24</v>
      </c>
      <c r="B484" t="s">
        <v>17</v>
      </c>
      <c r="C484" t="s">
        <v>18</v>
      </c>
      <c r="D484" t="s">
        <v>27</v>
      </c>
      <c r="E484" t="s">
        <v>15</v>
      </c>
      <c r="F484">
        <v>15.958863790000001</v>
      </c>
      <c r="G484">
        <v>16</v>
      </c>
      <c r="H484">
        <v>68</v>
      </c>
      <c r="I484">
        <v>68</v>
      </c>
      <c r="J484">
        <v>61</v>
      </c>
      <c r="K484">
        <f t="shared" si="7"/>
        <v>68</v>
      </c>
    </row>
    <row r="485" spans="1:11">
      <c r="A485" t="s">
        <v>24</v>
      </c>
      <c r="B485" t="s">
        <v>25</v>
      </c>
      <c r="C485" t="s">
        <v>39</v>
      </c>
      <c r="D485" t="s">
        <v>14</v>
      </c>
      <c r="E485" t="s">
        <v>15</v>
      </c>
      <c r="F485" s="5" t="s">
        <v>490</v>
      </c>
      <c r="G485">
        <v>15</v>
      </c>
      <c r="H485">
        <v>59</v>
      </c>
      <c r="I485">
        <v>52</v>
      </c>
      <c r="J485">
        <v>46</v>
      </c>
      <c r="K485">
        <f t="shared" si="7"/>
        <v>55.5</v>
      </c>
    </row>
    <row r="486" spans="1:11">
      <c r="A486" t="s">
        <v>11</v>
      </c>
      <c r="B486" t="s">
        <v>12</v>
      </c>
      <c r="C486" t="s">
        <v>26</v>
      </c>
      <c r="D486" t="s">
        <v>14</v>
      </c>
      <c r="E486" t="s">
        <v>15</v>
      </c>
      <c r="F486" s="5" t="s">
        <v>491</v>
      </c>
      <c r="G486">
        <v>24</v>
      </c>
      <c r="H486">
        <v>49</v>
      </c>
      <c r="I486">
        <v>52</v>
      </c>
      <c r="J486">
        <v>54</v>
      </c>
      <c r="K486">
        <f t="shared" si="7"/>
        <v>50.5</v>
      </c>
    </row>
    <row r="487" spans="1:11">
      <c r="A487" t="s">
        <v>24</v>
      </c>
      <c r="B487" t="s">
        <v>17</v>
      </c>
      <c r="C487" t="s">
        <v>39</v>
      </c>
      <c r="D487" t="s">
        <v>14</v>
      </c>
      <c r="E487" t="s">
        <v>15</v>
      </c>
      <c r="F487" s="5" t="s">
        <v>492</v>
      </c>
      <c r="G487">
        <v>5</v>
      </c>
      <c r="H487">
        <v>70</v>
      </c>
      <c r="I487">
        <v>74</v>
      </c>
      <c r="J487">
        <v>71</v>
      </c>
      <c r="K487">
        <f t="shared" si="7"/>
        <v>72</v>
      </c>
    </row>
    <row r="488" spans="1:11">
      <c r="A488" t="s">
        <v>24</v>
      </c>
      <c r="B488" t="s">
        <v>38</v>
      </c>
      <c r="C488" t="s">
        <v>18</v>
      </c>
      <c r="D488" t="s">
        <v>27</v>
      </c>
      <c r="E488" t="s">
        <v>15</v>
      </c>
      <c r="F488" s="5" t="s">
        <v>493</v>
      </c>
      <c r="G488">
        <v>11</v>
      </c>
      <c r="H488">
        <v>61</v>
      </c>
      <c r="I488">
        <v>47</v>
      </c>
      <c r="J488">
        <v>56</v>
      </c>
      <c r="K488">
        <f t="shared" si="7"/>
        <v>54</v>
      </c>
    </row>
    <row r="489" spans="1:11">
      <c r="A489" t="s">
        <v>11</v>
      </c>
      <c r="B489" t="s">
        <v>17</v>
      </c>
      <c r="C489" t="s">
        <v>26</v>
      </c>
      <c r="D489" t="s">
        <v>27</v>
      </c>
      <c r="E489" t="s">
        <v>15</v>
      </c>
      <c r="F489" s="5" t="s">
        <v>494</v>
      </c>
      <c r="G489">
        <v>15</v>
      </c>
      <c r="H489">
        <v>60</v>
      </c>
      <c r="I489">
        <v>75</v>
      </c>
      <c r="J489">
        <v>74</v>
      </c>
      <c r="K489">
        <f t="shared" si="7"/>
        <v>67.5</v>
      </c>
    </row>
    <row r="490" spans="1:11">
      <c r="A490" t="s">
        <v>24</v>
      </c>
      <c r="B490" t="s">
        <v>12</v>
      </c>
      <c r="C490" t="s">
        <v>50</v>
      </c>
      <c r="D490" t="s">
        <v>14</v>
      </c>
      <c r="E490" t="s">
        <v>19</v>
      </c>
      <c r="F490" s="5" t="s">
        <v>495</v>
      </c>
      <c r="G490">
        <v>23</v>
      </c>
      <c r="H490">
        <v>64</v>
      </c>
      <c r="I490">
        <v>53</v>
      </c>
      <c r="J490">
        <v>57</v>
      </c>
      <c r="K490">
        <f t="shared" si="7"/>
        <v>58.5</v>
      </c>
    </row>
    <row r="491" spans="1:11">
      <c r="A491" t="s">
        <v>24</v>
      </c>
      <c r="B491" t="s">
        <v>25</v>
      </c>
      <c r="C491" t="s">
        <v>26</v>
      </c>
      <c r="D491" t="s">
        <v>27</v>
      </c>
      <c r="E491" t="s">
        <v>19</v>
      </c>
      <c r="F491" s="5" t="s">
        <v>496</v>
      </c>
      <c r="G491">
        <v>23</v>
      </c>
      <c r="H491">
        <v>79</v>
      </c>
      <c r="I491">
        <v>82</v>
      </c>
      <c r="J491">
        <v>82</v>
      </c>
      <c r="K491">
        <f t="shared" si="7"/>
        <v>80.5</v>
      </c>
    </row>
    <row r="492" spans="1:11">
      <c r="A492" t="s">
        <v>11</v>
      </c>
      <c r="B492" t="s">
        <v>25</v>
      </c>
      <c r="C492" t="s">
        <v>26</v>
      </c>
      <c r="D492" t="s">
        <v>27</v>
      </c>
      <c r="E492" t="s">
        <v>15</v>
      </c>
      <c r="F492" s="5" t="s">
        <v>497</v>
      </c>
      <c r="G492">
        <v>10</v>
      </c>
      <c r="H492">
        <v>65</v>
      </c>
      <c r="I492">
        <v>85</v>
      </c>
      <c r="J492">
        <v>76</v>
      </c>
      <c r="K492">
        <f t="shared" si="7"/>
        <v>75</v>
      </c>
    </row>
    <row r="493" spans="1:11">
      <c r="A493" t="s">
        <v>11</v>
      </c>
      <c r="B493" t="s">
        <v>17</v>
      </c>
      <c r="C493" t="s">
        <v>26</v>
      </c>
      <c r="D493" t="s">
        <v>14</v>
      </c>
      <c r="E493" t="s">
        <v>15</v>
      </c>
      <c r="F493" s="5" t="s">
        <v>498</v>
      </c>
      <c r="G493">
        <v>16</v>
      </c>
      <c r="H493">
        <v>64</v>
      </c>
      <c r="I493">
        <v>64</v>
      </c>
      <c r="J493">
        <v>70</v>
      </c>
      <c r="K493">
        <f t="shared" si="7"/>
        <v>64</v>
      </c>
    </row>
    <row r="494" spans="1:11">
      <c r="A494" t="s">
        <v>11</v>
      </c>
      <c r="B494" t="s">
        <v>17</v>
      </c>
      <c r="C494" t="s">
        <v>18</v>
      </c>
      <c r="D494" t="s">
        <v>14</v>
      </c>
      <c r="E494" t="s">
        <v>15</v>
      </c>
      <c r="F494" s="5" t="s">
        <v>499</v>
      </c>
      <c r="G494">
        <v>27</v>
      </c>
      <c r="H494">
        <v>83</v>
      </c>
      <c r="I494">
        <v>83</v>
      </c>
      <c r="J494">
        <v>90</v>
      </c>
      <c r="K494">
        <f t="shared" si="7"/>
        <v>83</v>
      </c>
    </row>
    <row r="495" spans="1:11">
      <c r="A495" t="s">
        <v>11</v>
      </c>
      <c r="B495" t="s">
        <v>17</v>
      </c>
      <c r="C495" t="s">
        <v>13</v>
      </c>
      <c r="D495" t="s">
        <v>14</v>
      </c>
      <c r="E495" t="s">
        <v>15</v>
      </c>
      <c r="F495" s="5" t="s">
        <v>500</v>
      </c>
      <c r="G495">
        <v>6</v>
      </c>
      <c r="H495">
        <v>81</v>
      </c>
      <c r="I495">
        <v>88</v>
      </c>
      <c r="J495">
        <v>90</v>
      </c>
      <c r="K495">
        <f t="shared" si="7"/>
        <v>84.5</v>
      </c>
    </row>
    <row r="496" spans="1:11">
      <c r="A496" t="s">
        <v>11</v>
      </c>
      <c r="B496" t="s">
        <v>12</v>
      </c>
      <c r="C496" t="s">
        <v>39</v>
      </c>
      <c r="D496" t="s">
        <v>14</v>
      </c>
      <c r="E496" t="s">
        <v>15</v>
      </c>
      <c r="F496" s="5" t="s">
        <v>501</v>
      </c>
      <c r="G496">
        <v>6</v>
      </c>
      <c r="H496">
        <v>54</v>
      </c>
      <c r="I496">
        <v>64</v>
      </c>
      <c r="J496">
        <v>68</v>
      </c>
      <c r="K496">
        <f t="shared" si="7"/>
        <v>59</v>
      </c>
    </row>
    <row r="497" spans="1:11">
      <c r="A497" t="s">
        <v>24</v>
      </c>
      <c r="B497" t="s">
        <v>38</v>
      </c>
      <c r="C497" t="s">
        <v>39</v>
      </c>
      <c r="D497" t="s">
        <v>14</v>
      </c>
      <c r="E497" t="s">
        <v>19</v>
      </c>
      <c r="F497" s="5" t="s">
        <v>502</v>
      </c>
      <c r="G497">
        <v>15</v>
      </c>
      <c r="H497">
        <v>68</v>
      </c>
      <c r="I497">
        <v>64</v>
      </c>
      <c r="J497">
        <v>66</v>
      </c>
      <c r="K497">
        <f t="shared" si="7"/>
        <v>66</v>
      </c>
    </row>
    <row r="498" spans="1:11">
      <c r="A498" t="s">
        <v>11</v>
      </c>
      <c r="B498" t="s">
        <v>17</v>
      </c>
      <c r="C498" t="s">
        <v>18</v>
      </c>
      <c r="D498" t="s">
        <v>14</v>
      </c>
      <c r="E498" t="s">
        <v>15</v>
      </c>
      <c r="F498">
        <v>17.1577837</v>
      </c>
      <c r="G498">
        <v>1</v>
      </c>
      <c r="H498">
        <v>54</v>
      </c>
      <c r="I498">
        <v>48</v>
      </c>
      <c r="J498">
        <v>52</v>
      </c>
      <c r="K498">
        <f t="shared" si="7"/>
        <v>51</v>
      </c>
    </row>
    <row r="499" spans="1:11">
      <c r="A499" t="s">
        <v>11</v>
      </c>
      <c r="B499" t="s">
        <v>38</v>
      </c>
      <c r="C499" t="s">
        <v>18</v>
      </c>
      <c r="D499" t="s">
        <v>27</v>
      </c>
      <c r="E499" t="s">
        <v>19</v>
      </c>
      <c r="F499" s="5" t="s">
        <v>503</v>
      </c>
      <c r="G499">
        <v>12</v>
      </c>
      <c r="H499">
        <v>59</v>
      </c>
      <c r="I499">
        <v>78</v>
      </c>
      <c r="J499">
        <v>76</v>
      </c>
      <c r="K499">
        <f t="shared" si="7"/>
        <v>68.5</v>
      </c>
    </row>
    <row r="500" spans="1:11">
      <c r="A500" t="s">
        <v>11</v>
      </c>
      <c r="B500" t="s">
        <v>12</v>
      </c>
      <c r="C500" t="s">
        <v>50</v>
      </c>
      <c r="D500" t="s">
        <v>14</v>
      </c>
      <c r="E500" t="s">
        <v>15</v>
      </c>
      <c r="F500" s="5" t="s">
        <v>504</v>
      </c>
      <c r="G500">
        <v>4</v>
      </c>
      <c r="H500">
        <v>66</v>
      </c>
      <c r="I500">
        <v>69</v>
      </c>
      <c r="J500">
        <v>68</v>
      </c>
      <c r="K500">
        <f t="shared" si="7"/>
        <v>67.5</v>
      </c>
    </row>
    <row r="501" spans="1:11">
      <c r="A501" t="s">
        <v>24</v>
      </c>
      <c r="B501" t="s">
        <v>69</v>
      </c>
      <c r="C501" t="s">
        <v>18</v>
      </c>
      <c r="D501" t="s">
        <v>14</v>
      </c>
      <c r="E501" t="s">
        <v>15</v>
      </c>
      <c r="F501" s="5" t="s">
        <v>505</v>
      </c>
      <c r="G501">
        <v>7</v>
      </c>
      <c r="H501">
        <v>76</v>
      </c>
      <c r="I501">
        <v>71</v>
      </c>
      <c r="J501">
        <v>72</v>
      </c>
      <c r="K501">
        <f t="shared" si="7"/>
        <v>73.5</v>
      </c>
    </row>
    <row r="502" spans="1:11">
      <c r="A502" t="s">
        <v>11</v>
      </c>
      <c r="B502" t="s">
        <v>38</v>
      </c>
      <c r="C502" t="s">
        <v>22</v>
      </c>
      <c r="D502" t="s">
        <v>14</v>
      </c>
      <c r="E502" t="s">
        <v>15</v>
      </c>
      <c r="F502" s="5" t="s">
        <v>506</v>
      </c>
      <c r="G502">
        <v>2</v>
      </c>
      <c r="H502">
        <v>74</v>
      </c>
      <c r="I502">
        <v>79</v>
      </c>
      <c r="J502">
        <v>82</v>
      </c>
      <c r="K502">
        <f t="shared" si="7"/>
        <v>76.5</v>
      </c>
    </row>
    <row r="503" spans="1:11">
      <c r="A503" t="s">
        <v>11</v>
      </c>
      <c r="B503" t="s">
        <v>12</v>
      </c>
      <c r="C503" t="s">
        <v>26</v>
      </c>
      <c r="D503" t="s">
        <v>14</v>
      </c>
      <c r="E503" t="s">
        <v>19</v>
      </c>
      <c r="F503" s="5" t="s">
        <v>507</v>
      </c>
      <c r="G503">
        <v>24</v>
      </c>
      <c r="H503">
        <v>94</v>
      </c>
      <c r="I503">
        <v>87</v>
      </c>
      <c r="J503">
        <v>92</v>
      </c>
      <c r="K503">
        <f t="shared" si="7"/>
        <v>90.5</v>
      </c>
    </row>
    <row r="504" spans="1:11">
      <c r="A504" t="s">
        <v>24</v>
      </c>
      <c r="B504" t="s">
        <v>17</v>
      </c>
      <c r="C504" t="s">
        <v>18</v>
      </c>
      <c r="D504" t="s">
        <v>27</v>
      </c>
      <c r="E504" t="s">
        <v>15</v>
      </c>
      <c r="F504" s="5" t="s">
        <v>508</v>
      </c>
      <c r="G504">
        <v>28</v>
      </c>
      <c r="H504">
        <v>63</v>
      </c>
      <c r="I504">
        <v>61</v>
      </c>
      <c r="J504">
        <v>54</v>
      </c>
      <c r="K504">
        <f t="shared" si="7"/>
        <v>62</v>
      </c>
    </row>
    <row r="505" spans="1:11">
      <c r="A505" t="s">
        <v>11</v>
      </c>
      <c r="B505" t="s">
        <v>69</v>
      </c>
      <c r="C505" t="s">
        <v>26</v>
      </c>
      <c r="D505" t="s">
        <v>14</v>
      </c>
      <c r="E505" t="s">
        <v>19</v>
      </c>
      <c r="F505" s="5" t="s">
        <v>509</v>
      </c>
      <c r="G505">
        <v>18</v>
      </c>
      <c r="H505">
        <v>95</v>
      </c>
      <c r="I505">
        <v>89</v>
      </c>
      <c r="J505">
        <v>92</v>
      </c>
      <c r="K505">
        <f t="shared" si="7"/>
        <v>92</v>
      </c>
    </row>
    <row r="506" spans="1:11">
      <c r="A506" t="s">
        <v>11</v>
      </c>
      <c r="B506" t="s">
        <v>38</v>
      </c>
      <c r="C506" t="s">
        <v>22</v>
      </c>
      <c r="D506" t="s">
        <v>27</v>
      </c>
      <c r="E506" t="s">
        <v>15</v>
      </c>
      <c r="F506" s="5" t="s">
        <v>510</v>
      </c>
      <c r="G506">
        <v>26</v>
      </c>
      <c r="H506">
        <v>40</v>
      </c>
      <c r="I506">
        <v>59</v>
      </c>
      <c r="J506">
        <v>54</v>
      </c>
      <c r="K506">
        <f t="shared" si="7"/>
        <v>49.5</v>
      </c>
    </row>
    <row r="507" spans="1:11">
      <c r="A507" t="s">
        <v>11</v>
      </c>
      <c r="B507" t="s">
        <v>12</v>
      </c>
      <c r="C507" t="s">
        <v>50</v>
      </c>
      <c r="D507" t="s">
        <v>14</v>
      </c>
      <c r="E507" t="s">
        <v>15</v>
      </c>
      <c r="F507" s="5" t="s">
        <v>511</v>
      </c>
      <c r="G507">
        <v>5</v>
      </c>
      <c r="H507">
        <v>82</v>
      </c>
      <c r="I507">
        <v>82</v>
      </c>
      <c r="J507">
        <v>80</v>
      </c>
      <c r="K507">
        <f t="shared" si="7"/>
        <v>82</v>
      </c>
    </row>
    <row r="508" spans="1:11">
      <c r="A508" t="s">
        <v>24</v>
      </c>
      <c r="B508" t="s">
        <v>25</v>
      </c>
      <c r="C508" t="s">
        <v>39</v>
      </c>
      <c r="D508" t="s">
        <v>14</v>
      </c>
      <c r="E508" t="s">
        <v>15</v>
      </c>
      <c r="F508" s="5" t="s">
        <v>512</v>
      </c>
      <c r="G508">
        <v>0</v>
      </c>
      <c r="H508">
        <v>68</v>
      </c>
      <c r="I508">
        <v>70</v>
      </c>
      <c r="J508">
        <v>66</v>
      </c>
      <c r="K508">
        <f t="shared" si="7"/>
        <v>69</v>
      </c>
    </row>
    <row r="509" spans="1:11">
      <c r="A509" t="s">
        <v>24</v>
      </c>
      <c r="B509" t="s">
        <v>12</v>
      </c>
      <c r="C509" t="s">
        <v>13</v>
      </c>
      <c r="D509" t="s">
        <v>27</v>
      </c>
      <c r="E509" t="s">
        <v>15</v>
      </c>
      <c r="F509" s="5" t="s">
        <v>513</v>
      </c>
      <c r="G509">
        <v>1</v>
      </c>
      <c r="H509">
        <v>55</v>
      </c>
      <c r="I509">
        <v>59</v>
      </c>
      <c r="J509">
        <v>54</v>
      </c>
      <c r="K509">
        <f t="shared" si="7"/>
        <v>57</v>
      </c>
    </row>
    <row r="510" spans="1:11">
      <c r="A510" t="s">
        <v>24</v>
      </c>
      <c r="B510" t="s">
        <v>17</v>
      </c>
      <c r="C510" t="s">
        <v>22</v>
      </c>
      <c r="D510" t="s">
        <v>14</v>
      </c>
      <c r="E510" t="s">
        <v>15</v>
      </c>
      <c r="F510" s="5" t="s">
        <v>514</v>
      </c>
      <c r="G510">
        <v>17</v>
      </c>
      <c r="H510">
        <v>79</v>
      </c>
      <c r="I510">
        <v>78</v>
      </c>
      <c r="J510">
        <v>77</v>
      </c>
      <c r="K510">
        <f t="shared" si="7"/>
        <v>78.5</v>
      </c>
    </row>
    <row r="511" spans="1:11">
      <c r="A511" t="s">
        <v>11</v>
      </c>
      <c r="B511" t="s">
        <v>17</v>
      </c>
      <c r="C511" t="s">
        <v>13</v>
      </c>
      <c r="D511" t="s">
        <v>14</v>
      </c>
      <c r="E511" t="s">
        <v>15</v>
      </c>
      <c r="F511" s="5" t="s">
        <v>515</v>
      </c>
      <c r="G511">
        <v>0</v>
      </c>
      <c r="H511">
        <v>86</v>
      </c>
      <c r="I511">
        <v>92</v>
      </c>
      <c r="J511">
        <v>87</v>
      </c>
      <c r="K511">
        <f t="shared" si="7"/>
        <v>89</v>
      </c>
    </row>
    <row r="512" spans="1:11">
      <c r="A512" t="s">
        <v>24</v>
      </c>
      <c r="B512" t="s">
        <v>38</v>
      </c>
      <c r="C512" t="s">
        <v>18</v>
      </c>
      <c r="D512" t="s">
        <v>14</v>
      </c>
      <c r="E512" t="s">
        <v>15</v>
      </c>
      <c r="F512" s="5" t="s">
        <v>516</v>
      </c>
      <c r="G512">
        <v>16</v>
      </c>
      <c r="H512">
        <v>76</v>
      </c>
      <c r="I512">
        <v>71</v>
      </c>
      <c r="J512">
        <v>73</v>
      </c>
      <c r="K512">
        <f t="shared" si="7"/>
        <v>73.5</v>
      </c>
    </row>
    <row r="513" spans="1:11">
      <c r="A513" t="s">
        <v>24</v>
      </c>
      <c r="B513" t="s">
        <v>25</v>
      </c>
      <c r="C513" t="s">
        <v>50</v>
      </c>
      <c r="D513" t="s">
        <v>14</v>
      </c>
      <c r="E513" t="s">
        <v>15</v>
      </c>
      <c r="F513" s="5" t="s">
        <v>517</v>
      </c>
      <c r="G513">
        <v>19</v>
      </c>
      <c r="H513">
        <v>64</v>
      </c>
      <c r="I513">
        <v>50</v>
      </c>
      <c r="J513">
        <v>43</v>
      </c>
      <c r="K513">
        <f t="shared" si="7"/>
        <v>57</v>
      </c>
    </row>
    <row r="514" spans="1:11">
      <c r="A514" t="s">
        <v>24</v>
      </c>
      <c r="B514" t="s">
        <v>38</v>
      </c>
      <c r="C514" t="s">
        <v>50</v>
      </c>
      <c r="D514" t="s">
        <v>27</v>
      </c>
      <c r="E514" t="s">
        <v>15</v>
      </c>
      <c r="F514" s="5" t="s">
        <v>518</v>
      </c>
      <c r="G514">
        <v>14</v>
      </c>
      <c r="H514">
        <v>62</v>
      </c>
      <c r="I514">
        <v>49</v>
      </c>
      <c r="J514">
        <v>52</v>
      </c>
      <c r="K514">
        <f t="shared" si="7"/>
        <v>55.5</v>
      </c>
    </row>
    <row r="515" spans="1:11">
      <c r="A515" t="s">
        <v>11</v>
      </c>
      <c r="B515" t="s">
        <v>12</v>
      </c>
      <c r="C515" t="s">
        <v>50</v>
      </c>
      <c r="D515" t="s">
        <v>14</v>
      </c>
      <c r="E515" t="s">
        <v>19</v>
      </c>
      <c r="F515" s="5" t="s">
        <v>519</v>
      </c>
      <c r="G515">
        <v>16</v>
      </c>
      <c r="H515">
        <v>54</v>
      </c>
      <c r="I515">
        <v>61</v>
      </c>
      <c r="J515">
        <v>62</v>
      </c>
      <c r="K515">
        <f t="shared" ref="K515:K578" si="8">(H515+I515)/2</f>
        <v>57.5</v>
      </c>
    </row>
    <row r="516" spans="1:11">
      <c r="A516" t="s">
        <v>11</v>
      </c>
      <c r="B516" t="s">
        <v>12</v>
      </c>
      <c r="C516" t="s">
        <v>22</v>
      </c>
      <c r="D516" t="s">
        <v>27</v>
      </c>
      <c r="E516" t="s">
        <v>19</v>
      </c>
      <c r="F516" s="5" t="s">
        <v>520</v>
      </c>
      <c r="G516">
        <v>15</v>
      </c>
      <c r="H516">
        <v>77</v>
      </c>
      <c r="I516">
        <v>97</v>
      </c>
      <c r="J516">
        <v>94</v>
      </c>
      <c r="K516">
        <f t="shared" si="8"/>
        <v>87</v>
      </c>
    </row>
    <row r="517" spans="1:11">
      <c r="A517" t="s">
        <v>11</v>
      </c>
      <c r="B517" t="s">
        <v>17</v>
      </c>
      <c r="C517" t="s">
        <v>50</v>
      </c>
      <c r="D517" t="s">
        <v>14</v>
      </c>
      <c r="E517" t="s">
        <v>19</v>
      </c>
      <c r="F517" s="5" t="s">
        <v>521</v>
      </c>
      <c r="G517">
        <v>6</v>
      </c>
      <c r="H517">
        <v>76</v>
      </c>
      <c r="I517">
        <v>87</v>
      </c>
      <c r="J517">
        <v>85</v>
      </c>
      <c r="K517">
        <f t="shared" si="8"/>
        <v>81.5</v>
      </c>
    </row>
    <row r="518" spans="1:11">
      <c r="A518" t="s">
        <v>11</v>
      </c>
      <c r="B518" t="s">
        <v>38</v>
      </c>
      <c r="C518" t="s">
        <v>18</v>
      </c>
      <c r="D518" t="s">
        <v>14</v>
      </c>
      <c r="E518" t="s">
        <v>15</v>
      </c>
      <c r="F518">
        <v>8.4179305749999997</v>
      </c>
      <c r="G518">
        <v>23</v>
      </c>
      <c r="H518">
        <v>74</v>
      </c>
      <c r="I518">
        <v>89</v>
      </c>
      <c r="J518">
        <v>84</v>
      </c>
      <c r="K518">
        <f t="shared" si="8"/>
        <v>81.5</v>
      </c>
    </row>
    <row r="519" spans="1:11">
      <c r="A519" t="s">
        <v>11</v>
      </c>
      <c r="B519" t="s">
        <v>69</v>
      </c>
      <c r="C519" t="s">
        <v>18</v>
      </c>
      <c r="D519" t="s">
        <v>14</v>
      </c>
      <c r="E519" t="s">
        <v>19</v>
      </c>
      <c r="F519" s="5" t="s">
        <v>522</v>
      </c>
      <c r="G519">
        <v>10</v>
      </c>
      <c r="H519">
        <v>66</v>
      </c>
      <c r="I519">
        <v>74</v>
      </c>
      <c r="J519">
        <v>73</v>
      </c>
      <c r="K519">
        <f t="shared" si="8"/>
        <v>70</v>
      </c>
    </row>
    <row r="520" spans="1:11">
      <c r="A520" t="s">
        <v>11</v>
      </c>
      <c r="B520" t="s">
        <v>38</v>
      </c>
      <c r="C520" t="s">
        <v>50</v>
      </c>
      <c r="D520" t="s">
        <v>14</v>
      </c>
      <c r="E520" t="s">
        <v>19</v>
      </c>
      <c r="F520" s="5" t="s">
        <v>523</v>
      </c>
      <c r="G520">
        <v>8</v>
      </c>
      <c r="H520">
        <v>66</v>
      </c>
      <c r="I520">
        <v>78</v>
      </c>
      <c r="J520">
        <v>78</v>
      </c>
      <c r="K520">
        <f t="shared" si="8"/>
        <v>72</v>
      </c>
    </row>
    <row r="521" spans="1:11">
      <c r="A521" t="s">
        <v>11</v>
      </c>
      <c r="B521" t="s">
        <v>12</v>
      </c>
      <c r="C521" t="s">
        <v>39</v>
      </c>
      <c r="D521" t="s">
        <v>27</v>
      </c>
      <c r="E521" t="s">
        <v>19</v>
      </c>
      <c r="F521" s="5" t="s">
        <v>524</v>
      </c>
      <c r="G521">
        <v>27</v>
      </c>
      <c r="H521">
        <v>67</v>
      </c>
      <c r="I521">
        <v>78</v>
      </c>
      <c r="J521">
        <v>79</v>
      </c>
      <c r="K521">
        <f t="shared" si="8"/>
        <v>72.5</v>
      </c>
    </row>
    <row r="522" spans="1:11">
      <c r="A522" t="s">
        <v>24</v>
      </c>
      <c r="B522" t="s">
        <v>38</v>
      </c>
      <c r="C522" t="s">
        <v>18</v>
      </c>
      <c r="D522" t="s">
        <v>14</v>
      </c>
      <c r="E522" t="s">
        <v>15</v>
      </c>
      <c r="F522" s="5" t="s">
        <v>525</v>
      </c>
      <c r="G522">
        <v>2</v>
      </c>
      <c r="H522">
        <v>71</v>
      </c>
      <c r="I522">
        <v>49</v>
      </c>
      <c r="J522">
        <v>52</v>
      </c>
      <c r="K522">
        <f t="shared" si="8"/>
        <v>60</v>
      </c>
    </row>
    <row r="523" spans="1:11">
      <c r="A523" t="s">
        <v>11</v>
      </c>
      <c r="B523" t="s">
        <v>17</v>
      </c>
      <c r="C523" t="s">
        <v>26</v>
      </c>
      <c r="D523" t="s">
        <v>14</v>
      </c>
      <c r="E523" t="s">
        <v>15</v>
      </c>
      <c r="F523">
        <v>0.81570026900000003</v>
      </c>
      <c r="G523">
        <v>1</v>
      </c>
      <c r="H523">
        <v>91</v>
      </c>
      <c r="I523">
        <v>86</v>
      </c>
      <c r="J523">
        <v>84</v>
      </c>
      <c r="K523">
        <f t="shared" si="8"/>
        <v>88.5</v>
      </c>
    </row>
    <row r="524" spans="1:11">
      <c r="A524" t="s">
        <v>24</v>
      </c>
      <c r="B524" t="s">
        <v>38</v>
      </c>
      <c r="C524" t="s">
        <v>13</v>
      </c>
      <c r="D524" t="s">
        <v>14</v>
      </c>
      <c r="E524" t="s">
        <v>15</v>
      </c>
      <c r="F524">
        <v>6.3451043289999998</v>
      </c>
      <c r="G524">
        <v>7</v>
      </c>
      <c r="H524">
        <v>69</v>
      </c>
      <c r="I524">
        <v>58</v>
      </c>
      <c r="J524">
        <v>57</v>
      </c>
      <c r="K524">
        <f t="shared" si="8"/>
        <v>63.5</v>
      </c>
    </row>
    <row r="525" spans="1:11">
      <c r="A525" t="s">
        <v>24</v>
      </c>
      <c r="B525" t="s">
        <v>17</v>
      </c>
      <c r="C525" t="s">
        <v>22</v>
      </c>
      <c r="D525" t="s">
        <v>27</v>
      </c>
      <c r="E525" t="s">
        <v>15</v>
      </c>
      <c r="F525" s="5" t="s">
        <v>526</v>
      </c>
      <c r="G525">
        <v>1</v>
      </c>
      <c r="H525">
        <v>54</v>
      </c>
      <c r="I525">
        <v>59</v>
      </c>
      <c r="J525">
        <v>50</v>
      </c>
      <c r="K525">
        <f t="shared" si="8"/>
        <v>56.5</v>
      </c>
    </row>
    <row r="526" spans="1:11">
      <c r="A526" t="s">
        <v>24</v>
      </c>
      <c r="B526" t="s">
        <v>17</v>
      </c>
      <c r="C526" t="s">
        <v>39</v>
      </c>
      <c r="D526" t="s">
        <v>14</v>
      </c>
      <c r="E526" t="s">
        <v>19</v>
      </c>
      <c r="F526" s="5" t="s">
        <v>527</v>
      </c>
      <c r="G526">
        <v>24</v>
      </c>
      <c r="H526">
        <v>53</v>
      </c>
      <c r="I526">
        <v>52</v>
      </c>
      <c r="J526">
        <v>49</v>
      </c>
      <c r="K526">
        <f t="shared" si="8"/>
        <v>52.5</v>
      </c>
    </row>
    <row r="527" spans="1:11">
      <c r="A527" t="s">
        <v>24</v>
      </c>
      <c r="B527" t="s">
        <v>69</v>
      </c>
      <c r="C527" t="s">
        <v>18</v>
      </c>
      <c r="D527" t="s">
        <v>14</v>
      </c>
      <c r="E527" t="s">
        <v>15</v>
      </c>
      <c r="F527" s="5" t="s">
        <v>528</v>
      </c>
      <c r="G527">
        <v>3</v>
      </c>
      <c r="H527">
        <v>68</v>
      </c>
      <c r="I527">
        <v>60</v>
      </c>
      <c r="J527">
        <v>59</v>
      </c>
      <c r="K527">
        <f t="shared" si="8"/>
        <v>64</v>
      </c>
    </row>
    <row r="528" spans="1:11">
      <c r="A528" t="s">
        <v>24</v>
      </c>
      <c r="B528" t="s">
        <v>17</v>
      </c>
      <c r="C528" t="s">
        <v>50</v>
      </c>
      <c r="D528" t="s">
        <v>27</v>
      </c>
      <c r="E528" t="s">
        <v>19</v>
      </c>
      <c r="F528" s="5" t="s">
        <v>529</v>
      </c>
      <c r="G528">
        <v>15</v>
      </c>
      <c r="H528">
        <v>56</v>
      </c>
      <c r="I528">
        <v>61</v>
      </c>
      <c r="J528">
        <v>60</v>
      </c>
      <c r="K528">
        <f t="shared" si="8"/>
        <v>58.5</v>
      </c>
    </row>
    <row r="529" spans="1:11">
      <c r="A529" t="s">
        <v>11</v>
      </c>
      <c r="B529" t="s">
        <v>17</v>
      </c>
      <c r="C529" t="s">
        <v>39</v>
      </c>
      <c r="D529" t="s">
        <v>27</v>
      </c>
      <c r="E529" t="s">
        <v>15</v>
      </c>
      <c r="F529" s="5" t="s">
        <v>530</v>
      </c>
      <c r="G529">
        <v>12</v>
      </c>
      <c r="H529">
        <v>36</v>
      </c>
      <c r="I529">
        <v>53</v>
      </c>
      <c r="J529">
        <v>43</v>
      </c>
      <c r="K529">
        <f t="shared" si="8"/>
        <v>44.5</v>
      </c>
    </row>
    <row r="530" spans="1:11">
      <c r="A530" t="s">
        <v>11</v>
      </c>
      <c r="B530" t="s">
        <v>38</v>
      </c>
      <c r="C530" t="s">
        <v>13</v>
      </c>
      <c r="D530" t="s">
        <v>27</v>
      </c>
      <c r="E530" t="s">
        <v>15</v>
      </c>
      <c r="F530" s="5" t="s">
        <v>531</v>
      </c>
      <c r="G530">
        <v>16</v>
      </c>
      <c r="H530">
        <v>29</v>
      </c>
      <c r="I530">
        <v>41</v>
      </c>
      <c r="J530">
        <v>47</v>
      </c>
      <c r="K530">
        <f t="shared" si="8"/>
        <v>35</v>
      </c>
    </row>
    <row r="531" spans="1:11">
      <c r="A531" t="s">
        <v>11</v>
      </c>
      <c r="B531" t="s">
        <v>17</v>
      </c>
      <c r="C531" t="s">
        <v>26</v>
      </c>
      <c r="D531" t="s">
        <v>14</v>
      </c>
      <c r="E531" t="s">
        <v>15</v>
      </c>
      <c r="F531" s="5" t="s">
        <v>532</v>
      </c>
      <c r="G531">
        <v>14</v>
      </c>
      <c r="H531">
        <v>62</v>
      </c>
      <c r="I531">
        <v>74</v>
      </c>
      <c r="J531">
        <v>70</v>
      </c>
      <c r="K531">
        <f t="shared" si="8"/>
        <v>68</v>
      </c>
    </row>
    <row r="532" spans="1:11">
      <c r="A532" t="s">
        <v>11</v>
      </c>
      <c r="B532" t="s">
        <v>17</v>
      </c>
      <c r="C532" t="s">
        <v>26</v>
      </c>
      <c r="D532" t="s">
        <v>14</v>
      </c>
      <c r="E532" t="s">
        <v>19</v>
      </c>
      <c r="F532">
        <v>7.5639269909999998</v>
      </c>
      <c r="G532">
        <v>4</v>
      </c>
      <c r="H532">
        <v>68</v>
      </c>
      <c r="I532">
        <v>67</v>
      </c>
      <c r="J532">
        <v>73</v>
      </c>
      <c r="K532">
        <f t="shared" si="8"/>
        <v>67.5</v>
      </c>
    </row>
    <row r="533" spans="1:11">
      <c r="A533" t="s">
        <v>11</v>
      </c>
      <c r="B533" t="s">
        <v>17</v>
      </c>
      <c r="C533" t="s">
        <v>50</v>
      </c>
      <c r="D533" t="s">
        <v>14</v>
      </c>
      <c r="E533" t="s">
        <v>15</v>
      </c>
      <c r="F533" s="5" t="s">
        <v>533</v>
      </c>
      <c r="G533">
        <v>7</v>
      </c>
      <c r="H533">
        <v>47</v>
      </c>
      <c r="I533">
        <v>54</v>
      </c>
      <c r="J533">
        <v>53</v>
      </c>
      <c r="K533">
        <f t="shared" si="8"/>
        <v>50.5</v>
      </c>
    </row>
    <row r="534" spans="1:11">
      <c r="A534" t="s">
        <v>24</v>
      </c>
      <c r="B534" t="s">
        <v>69</v>
      </c>
      <c r="C534" t="s">
        <v>26</v>
      </c>
      <c r="D534" t="s">
        <v>14</v>
      </c>
      <c r="E534" t="s">
        <v>19</v>
      </c>
      <c r="F534" s="5" t="s">
        <v>534</v>
      </c>
      <c r="G534">
        <v>23</v>
      </c>
      <c r="H534">
        <v>62</v>
      </c>
      <c r="I534">
        <v>61</v>
      </c>
      <c r="J534">
        <v>58</v>
      </c>
      <c r="K534">
        <f t="shared" si="8"/>
        <v>61.5</v>
      </c>
    </row>
    <row r="535" spans="1:11">
      <c r="A535" t="s">
        <v>11</v>
      </c>
      <c r="B535" t="s">
        <v>69</v>
      </c>
      <c r="C535" t="s">
        <v>26</v>
      </c>
      <c r="D535" t="s">
        <v>14</v>
      </c>
      <c r="E535" t="s">
        <v>19</v>
      </c>
      <c r="F535" s="5" t="s">
        <v>535</v>
      </c>
      <c r="G535">
        <v>25</v>
      </c>
      <c r="H535">
        <v>79</v>
      </c>
      <c r="I535">
        <v>88</v>
      </c>
      <c r="J535">
        <v>94</v>
      </c>
      <c r="K535">
        <f t="shared" si="8"/>
        <v>83.5</v>
      </c>
    </row>
    <row r="536" spans="1:11">
      <c r="A536" t="s">
        <v>24</v>
      </c>
      <c r="B536" t="s">
        <v>12</v>
      </c>
      <c r="C536" t="s">
        <v>39</v>
      </c>
      <c r="D536" t="s">
        <v>14</v>
      </c>
      <c r="E536" t="s">
        <v>19</v>
      </c>
      <c r="F536" s="5" t="s">
        <v>536</v>
      </c>
      <c r="G536">
        <v>23</v>
      </c>
      <c r="H536">
        <v>73</v>
      </c>
      <c r="I536">
        <v>69</v>
      </c>
      <c r="J536">
        <v>68</v>
      </c>
      <c r="K536">
        <f t="shared" si="8"/>
        <v>71</v>
      </c>
    </row>
    <row r="537" spans="1:11">
      <c r="A537" t="s">
        <v>11</v>
      </c>
      <c r="B537" t="s">
        <v>17</v>
      </c>
      <c r="C537" t="s">
        <v>13</v>
      </c>
      <c r="D537" t="s">
        <v>27</v>
      </c>
      <c r="E537" t="s">
        <v>19</v>
      </c>
      <c r="F537" s="5" t="s">
        <v>537</v>
      </c>
      <c r="G537">
        <v>19</v>
      </c>
      <c r="H537">
        <v>66</v>
      </c>
      <c r="I537">
        <v>83</v>
      </c>
      <c r="J537">
        <v>83</v>
      </c>
      <c r="K537">
        <f t="shared" si="8"/>
        <v>74.5</v>
      </c>
    </row>
    <row r="538" spans="1:11">
      <c r="A538" t="s">
        <v>24</v>
      </c>
      <c r="B538" t="s">
        <v>17</v>
      </c>
      <c r="C538" t="s">
        <v>26</v>
      </c>
      <c r="D538" t="s">
        <v>14</v>
      </c>
      <c r="E538" t="s">
        <v>19</v>
      </c>
      <c r="F538" s="5" t="s">
        <v>538</v>
      </c>
      <c r="G538">
        <v>1</v>
      </c>
      <c r="H538">
        <v>51</v>
      </c>
      <c r="I538">
        <v>60</v>
      </c>
      <c r="J538">
        <v>58</v>
      </c>
      <c r="K538">
        <f t="shared" si="8"/>
        <v>55.5</v>
      </c>
    </row>
    <row r="539" spans="1:11">
      <c r="A539" t="s">
        <v>11</v>
      </c>
      <c r="B539" t="s">
        <v>38</v>
      </c>
      <c r="C539" t="s">
        <v>39</v>
      </c>
      <c r="D539" t="s">
        <v>14</v>
      </c>
      <c r="E539" t="s">
        <v>15</v>
      </c>
      <c r="F539" s="5" t="s">
        <v>539</v>
      </c>
      <c r="G539">
        <v>22</v>
      </c>
      <c r="H539">
        <v>51</v>
      </c>
      <c r="I539">
        <v>66</v>
      </c>
      <c r="J539">
        <v>62</v>
      </c>
      <c r="K539">
        <f t="shared" si="8"/>
        <v>58.5</v>
      </c>
    </row>
    <row r="540" spans="1:11">
      <c r="A540" t="s">
        <v>24</v>
      </c>
      <c r="B540" t="s">
        <v>69</v>
      </c>
      <c r="C540" t="s">
        <v>13</v>
      </c>
      <c r="D540" t="s">
        <v>14</v>
      </c>
      <c r="E540" t="s">
        <v>19</v>
      </c>
      <c r="F540" s="5" t="s">
        <v>540</v>
      </c>
      <c r="G540">
        <v>5</v>
      </c>
      <c r="H540">
        <v>85</v>
      </c>
      <c r="I540">
        <v>66</v>
      </c>
      <c r="J540">
        <v>71</v>
      </c>
      <c r="K540">
        <f t="shared" si="8"/>
        <v>75.5</v>
      </c>
    </row>
    <row r="541" spans="1:11">
      <c r="A541" t="s">
        <v>24</v>
      </c>
      <c r="B541" t="s">
        <v>25</v>
      </c>
      <c r="C541" t="s">
        <v>26</v>
      </c>
      <c r="D541" t="s">
        <v>14</v>
      </c>
      <c r="E541" t="s">
        <v>19</v>
      </c>
      <c r="F541" s="5" t="s">
        <v>541</v>
      </c>
      <c r="G541">
        <v>28</v>
      </c>
      <c r="H541">
        <v>97</v>
      </c>
      <c r="I541">
        <v>92</v>
      </c>
      <c r="J541">
        <v>86</v>
      </c>
      <c r="K541">
        <f t="shared" si="8"/>
        <v>94.5</v>
      </c>
    </row>
    <row r="542" spans="1:11">
      <c r="A542" t="s">
        <v>24</v>
      </c>
      <c r="B542" t="s">
        <v>17</v>
      </c>
      <c r="C542" t="s">
        <v>39</v>
      </c>
      <c r="D542" t="s">
        <v>14</v>
      </c>
      <c r="E542" t="s">
        <v>19</v>
      </c>
      <c r="F542" s="5" t="s">
        <v>542</v>
      </c>
      <c r="G542">
        <v>12</v>
      </c>
      <c r="H542">
        <v>75</v>
      </c>
      <c r="I542">
        <v>69</v>
      </c>
      <c r="J542">
        <v>68</v>
      </c>
      <c r="K542">
        <f t="shared" si="8"/>
        <v>72</v>
      </c>
    </row>
    <row r="543" spans="1:11">
      <c r="A543" t="s">
        <v>24</v>
      </c>
      <c r="B543" t="s">
        <v>38</v>
      </c>
      <c r="C543" t="s">
        <v>26</v>
      </c>
      <c r="D543" t="s">
        <v>27</v>
      </c>
      <c r="E543" t="s">
        <v>19</v>
      </c>
      <c r="F543" s="5" t="s">
        <v>543</v>
      </c>
      <c r="G543">
        <v>11</v>
      </c>
      <c r="H543">
        <v>79</v>
      </c>
      <c r="I543">
        <v>82</v>
      </c>
      <c r="J543">
        <v>80</v>
      </c>
      <c r="K543">
        <f t="shared" si="8"/>
        <v>80.5</v>
      </c>
    </row>
    <row r="544" spans="1:11">
      <c r="A544" t="s">
        <v>11</v>
      </c>
      <c r="B544" t="s">
        <v>17</v>
      </c>
      <c r="C544" t="s">
        <v>26</v>
      </c>
      <c r="D544" t="s">
        <v>14</v>
      </c>
      <c r="E544" t="s">
        <v>15</v>
      </c>
      <c r="F544" s="5" t="s">
        <v>544</v>
      </c>
      <c r="G544">
        <v>1</v>
      </c>
      <c r="H544">
        <v>81</v>
      </c>
      <c r="I544">
        <v>77</v>
      </c>
      <c r="J544">
        <v>79</v>
      </c>
      <c r="K544">
        <f t="shared" si="8"/>
        <v>79</v>
      </c>
    </row>
    <row r="545" spans="1:11">
      <c r="A545" t="s">
        <v>11</v>
      </c>
      <c r="B545" t="s">
        <v>38</v>
      </c>
      <c r="C545" t="s">
        <v>26</v>
      </c>
      <c r="D545" t="s">
        <v>14</v>
      </c>
      <c r="E545" t="s">
        <v>15</v>
      </c>
      <c r="F545" s="5" t="s">
        <v>545</v>
      </c>
      <c r="G545">
        <v>25</v>
      </c>
      <c r="H545">
        <v>82</v>
      </c>
      <c r="I545">
        <v>95</v>
      </c>
      <c r="J545">
        <v>89</v>
      </c>
      <c r="K545">
        <f t="shared" si="8"/>
        <v>88.5</v>
      </c>
    </row>
    <row r="546" spans="1:11">
      <c r="A546" t="s">
        <v>11</v>
      </c>
      <c r="B546" t="s">
        <v>38</v>
      </c>
      <c r="C546" t="s">
        <v>22</v>
      </c>
      <c r="D546" t="s">
        <v>14</v>
      </c>
      <c r="E546" t="s">
        <v>15</v>
      </c>
      <c r="F546" s="5" t="s">
        <v>546</v>
      </c>
      <c r="G546">
        <v>16</v>
      </c>
      <c r="H546">
        <v>64</v>
      </c>
      <c r="I546">
        <v>63</v>
      </c>
      <c r="J546">
        <v>66</v>
      </c>
      <c r="K546">
        <f t="shared" si="8"/>
        <v>63.5</v>
      </c>
    </row>
    <row r="547" spans="1:11">
      <c r="A547" t="s">
        <v>24</v>
      </c>
      <c r="B547" t="s">
        <v>69</v>
      </c>
      <c r="C547" t="s">
        <v>50</v>
      </c>
      <c r="D547" t="s">
        <v>27</v>
      </c>
      <c r="E547" t="s">
        <v>19</v>
      </c>
      <c r="F547" s="5" t="s">
        <v>547</v>
      </c>
      <c r="G547">
        <v>16</v>
      </c>
      <c r="H547">
        <v>78</v>
      </c>
      <c r="I547">
        <v>83</v>
      </c>
      <c r="J547">
        <v>80</v>
      </c>
      <c r="K547">
        <f t="shared" si="8"/>
        <v>80.5</v>
      </c>
    </row>
    <row r="548" spans="1:11">
      <c r="A548" t="s">
        <v>11</v>
      </c>
      <c r="B548" t="s">
        <v>25</v>
      </c>
      <c r="C548" t="s">
        <v>50</v>
      </c>
      <c r="D548" t="s">
        <v>14</v>
      </c>
      <c r="E548" t="s">
        <v>19</v>
      </c>
      <c r="F548" s="5" t="s">
        <v>548</v>
      </c>
      <c r="G548">
        <v>25</v>
      </c>
      <c r="H548">
        <v>92</v>
      </c>
      <c r="I548">
        <v>100</v>
      </c>
      <c r="J548">
        <v>97</v>
      </c>
      <c r="K548">
        <f t="shared" si="8"/>
        <v>96</v>
      </c>
    </row>
    <row r="549" spans="1:11">
      <c r="A549" t="s">
        <v>24</v>
      </c>
      <c r="B549" t="s">
        <v>17</v>
      </c>
      <c r="C549" t="s">
        <v>39</v>
      </c>
      <c r="D549" t="s">
        <v>14</v>
      </c>
      <c r="E549" t="s">
        <v>19</v>
      </c>
      <c r="F549" s="5" t="s">
        <v>549</v>
      </c>
      <c r="G549">
        <v>6</v>
      </c>
      <c r="H549">
        <v>72</v>
      </c>
      <c r="I549">
        <v>67</v>
      </c>
      <c r="J549">
        <v>64</v>
      </c>
      <c r="K549">
        <f t="shared" si="8"/>
        <v>69.5</v>
      </c>
    </row>
    <row r="550" spans="1:11">
      <c r="A550" t="s">
        <v>11</v>
      </c>
      <c r="B550" t="s">
        <v>17</v>
      </c>
      <c r="C550" t="s">
        <v>39</v>
      </c>
      <c r="D550" t="s">
        <v>27</v>
      </c>
      <c r="E550" t="s">
        <v>15</v>
      </c>
      <c r="F550" s="5" t="s">
        <v>550</v>
      </c>
      <c r="G550">
        <v>14</v>
      </c>
      <c r="H550">
        <v>62</v>
      </c>
      <c r="I550">
        <v>67</v>
      </c>
      <c r="J550">
        <v>64</v>
      </c>
      <c r="K550">
        <f t="shared" si="8"/>
        <v>64.5</v>
      </c>
    </row>
    <row r="551" spans="1:11">
      <c r="A551" t="s">
        <v>24</v>
      </c>
      <c r="B551" t="s">
        <v>17</v>
      </c>
      <c r="C551" t="s">
        <v>22</v>
      </c>
      <c r="D551" t="s">
        <v>14</v>
      </c>
      <c r="E551" t="s">
        <v>15</v>
      </c>
      <c r="F551" s="5" t="s">
        <v>551</v>
      </c>
      <c r="G551">
        <v>21</v>
      </c>
      <c r="H551">
        <v>79</v>
      </c>
      <c r="I551">
        <v>72</v>
      </c>
      <c r="J551">
        <v>69</v>
      </c>
      <c r="K551">
        <f t="shared" si="8"/>
        <v>75.5</v>
      </c>
    </row>
    <row r="552" spans="1:11">
      <c r="A552" t="s">
        <v>24</v>
      </c>
      <c r="B552" t="s">
        <v>17</v>
      </c>
      <c r="C552" t="s">
        <v>50</v>
      </c>
      <c r="D552" t="s">
        <v>27</v>
      </c>
      <c r="E552" t="s">
        <v>15</v>
      </c>
      <c r="F552" s="5" t="s">
        <v>552</v>
      </c>
      <c r="G552">
        <v>4</v>
      </c>
      <c r="H552">
        <v>79</v>
      </c>
      <c r="I552">
        <v>76</v>
      </c>
      <c r="J552">
        <v>65</v>
      </c>
      <c r="K552">
        <f t="shared" si="8"/>
        <v>77.5</v>
      </c>
    </row>
    <row r="553" spans="1:11">
      <c r="A553" t="s">
        <v>24</v>
      </c>
      <c r="B553" t="s">
        <v>12</v>
      </c>
      <c r="C553" t="s">
        <v>13</v>
      </c>
      <c r="D553" t="s">
        <v>27</v>
      </c>
      <c r="E553" t="s">
        <v>19</v>
      </c>
      <c r="F553" s="5" t="s">
        <v>553</v>
      </c>
      <c r="G553">
        <v>28</v>
      </c>
      <c r="H553">
        <v>87</v>
      </c>
      <c r="I553">
        <v>90</v>
      </c>
      <c r="J553">
        <v>88</v>
      </c>
      <c r="K553">
        <f t="shared" si="8"/>
        <v>88.5</v>
      </c>
    </row>
    <row r="554" spans="1:11">
      <c r="A554" t="s">
        <v>11</v>
      </c>
      <c r="B554" t="s">
        <v>12</v>
      </c>
      <c r="C554" t="s">
        <v>26</v>
      </c>
      <c r="D554" t="s">
        <v>14</v>
      </c>
      <c r="E554" t="s">
        <v>15</v>
      </c>
      <c r="F554" s="5" t="s">
        <v>554</v>
      </c>
      <c r="G554">
        <v>14</v>
      </c>
      <c r="H554">
        <v>40</v>
      </c>
      <c r="I554">
        <v>48</v>
      </c>
      <c r="J554">
        <v>50</v>
      </c>
      <c r="K554">
        <f t="shared" si="8"/>
        <v>44</v>
      </c>
    </row>
    <row r="555" spans="1:11">
      <c r="A555" t="s">
        <v>24</v>
      </c>
      <c r="B555" t="s">
        <v>38</v>
      </c>
      <c r="C555" t="s">
        <v>18</v>
      </c>
      <c r="D555" t="s">
        <v>27</v>
      </c>
      <c r="E555" t="s">
        <v>15</v>
      </c>
      <c r="F555" s="5" t="s">
        <v>555</v>
      </c>
      <c r="G555">
        <v>23</v>
      </c>
      <c r="H555">
        <v>77</v>
      </c>
      <c r="I555">
        <v>62</v>
      </c>
      <c r="J555">
        <v>64</v>
      </c>
      <c r="K555">
        <f t="shared" si="8"/>
        <v>69.5</v>
      </c>
    </row>
    <row r="556" spans="1:11">
      <c r="A556" t="s">
        <v>24</v>
      </c>
      <c r="B556" t="s">
        <v>69</v>
      </c>
      <c r="C556" t="s">
        <v>26</v>
      </c>
      <c r="D556" t="s">
        <v>14</v>
      </c>
      <c r="E556" t="s">
        <v>15</v>
      </c>
      <c r="F556" s="5" t="s">
        <v>556</v>
      </c>
      <c r="G556">
        <v>11</v>
      </c>
      <c r="H556">
        <v>53</v>
      </c>
      <c r="I556">
        <v>45</v>
      </c>
      <c r="J556">
        <v>40</v>
      </c>
      <c r="K556">
        <f t="shared" si="8"/>
        <v>49</v>
      </c>
    </row>
    <row r="557" spans="1:11">
      <c r="A557" t="s">
        <v>11</v>
      </c>
      <c r="B557" t="s">
        <v>17</v>
      </c>
      <c r="C557" t="s">
        <v>18</v>
      </c>
      <c r="D557" t="s">
        <v>27</v>
      </c>
      <c r="E557" t="s">
        <v>15</v>
      </c>
      <c r="F557" s="5" t="s">
        <v>557</v>
      </c>
      <c r="G557">
        <v>27</v>
      </c>
      <c r="H557">
        <v>32</v>
      </c>
      <c r="I557">
        <v>39</v>
      </c>
      <c r="J557">
        <v>33</v>
      </c>
      <c r="K557">
        <f t="shared" si="8"/>
        <v>35.5</v>
      </c>
    </row>
    <row r="558" spans="1:11">
      <c r="A558" t="s">
        <v>11</v>
      </c>
      <c r="B558" t="s">
        <v>17</v>
      </c>
      <c r="C558" t="s">
        <v>26</v>
      </c>
      <c r="D558" t="s">
        <v>14</v>
      </c>
      <c r="E558" t="s">
        <v>19</v>
      </c>
      <c r="F558" s="5" t="s">
        <v>558</v>
      </c>
      <c r="G558">
        <v>28</v>
      </c>
      <c r="H558">
        <v>55</v>
      </c>
      <c r="I558">
        <v>72</v>
      </c>
      <c r="J558">
        <v>79</v>
      </c>
      <c r="K558">
        <f t="shared" si="8"/>
        <v>63.5</v>
      </c>
    </row>
    <row r="559" spans="1:11">
      <c r="A559" t="s">
        <v>24</v>
      </c>
      <c r="B559" t="s">
        <v>17</v>
      </c>
      <c r="C559" t="s">
        <v>22</v>
      </c>
      <c r="D559" t="s">
        <v>27</v>
      </c>
      <c r="E559" t="s">
        <v>15</v>
      </c>
      <c r="F559" s="5" t="s">
        <v>559</v>
      </c>
      <c r="G559">
        <v>19</v>
      </c>
      <c r="H559">
        <v>61</v>
      </c>
      <c r="I559">
        <v>67</v>
      </c>
      <c r="J559">
        <v>66</v>
      </c>
      <c r="K559">
        <f t="shared" si="8"/>
        <v>64</v>
      </c>
    </row>
    <row r="560" spans="1:11">
      <c r="A560" t="s">
        <v>11</v>
      </c>
      <c r="B560" t="s">
        <v>12</v>
      </c>
      <c r="C560" t="s">
        <v>26</v>
      </c>
      <c r="D560" t="s">
        <v>27</v>
      </c>
      <c r="E560" t="s">
        <v>15</v>
      </c>
      <c r="F560" s="5" t="s">
        <v>560</v>
      </c>
      <c r="G560">
        <v>19</v>
      </c>
      <c r="H560">
        <v>53</v>
      </c>
      <c r="I560">
        <v>70</v>
      </c>
      <c r="J560">
        <v>70</v>
      </c>
      <c r="K560">
        <f t="shared" si="8"/>
        <v>61.5</v>
      </c>
    </row>
    <row r="561" spans="1:11">
      <c r="A561" t="s">
        <v>24</v>
      </c>
      <c r="B561" t="s">
        <v>38</v>
      </c>
      <c r="C561" t="s">
        <v>50</v>
      </c>
      <c r="D561" t="s">
        <v>14</v>
      </c>
      <c r="E561" t="s">
        <v>15</v>
      </c>
      <c r="F561" s="5" t="s">
        <v>561</v>
      </c>
      <c r="G561">
        <v>9</v>
      </c>
      <c r="H561">
        <v>73</v>
      </c>
      <c r="I561">
        <v>66</v>
      </c>
      <c r="J561">
        <v>62</v>
      </c>
      <c r="K561">
        <f t="shared" si="8"/>
        <v>69.5</v>
      </c>
    </row>
    <row r="562" spans="1:11">
      <c r="A562" t="s">
        <v>11</v>
      </c>
      <c r="B562" t="s">
        <v>38</v>
      </c>
      <c r="C562" t="s">
        <v>18</v>
      </c>
      <c r="D562" t="s">
        <v>14</v>
      </c>
      <c r="E562" t="s">
        <v>19</v>
      </c>
      <c r="F562" s="5" t="s">
        <v>562</v>
      </c>
      <c r="G562">
        <v>5</v>
      </c>
      <c r="H562">
        <v>74</v>
      </c>
      <c r="I562">
        <v>75</v>
      </c>
      <c r="J562">
        <v>79</v>
      </c>
      <c r="K562">
        <f t="shared" si="8"/>
        <v>74.5</v>
      </c>
    </row>
    <row r="563" spans="1:11">
      <c r="A563" t="s">
        <v>11</v>
      </c>
      <c r="B563" t="s">
        <v>17</v>
      </c>
      <c r="C563" t="s">
        <v>18</v>
      </c>
      <c r="D563" t="s">
        <v>14</v>
      </c>
      <c r="E563" t="s">
        <v>15</v>
      </c>
      <c r="F563" s="5" t="s">
        <v>563</v>
      </c>
      <c r="G563">
        <v>19</v>
      </c>
      <c r="H563">
        <v>63</v>
      </c>
      <c r="I563">
        <v>74</v>
      </c>
      <c r="J563">
        <v>74</v>
      </c>
      <c r="K563">
        <f t="shared" si="8"/>
        <v>68.5</v>
      </c>
    </row>
    <row r="564" spans="1:11">
      <c r="A564" t="s">
        <v>24</v>
      </c>
      <c r="B564" t="s">
        <v>17</v>
      </c>
      <c r="C564" t="s">
        <v>13</v>
      </c>
      <c r="D564" t="s">
        <v>14</v>
      </c>
      <c r="E564" t="s">
        <v>19</v>
      </c>
      <c r="F564" s="5" t="s">
        <v>564</v>
      </c>
      <c r="G564">
        <v>5</v>
      </c>
      <c r="H564">
        <v>96</v>
      </c>
      <c r="I564">
        <v>90</v>
      </c>
      <c r="J564">
        <v>92</v>
      </c>
      <c r="K564">
        <f t="shared" si="8"/>
        <v>93</v>
      </c>
    </row>
    <row r="565" spans="1:11">
      <c r="A565" t="s">
        <v>11</v>
      </c>
      <c r="B565" t="s">
        <v>38</v>
      </c>
      <c r="C565" t="s">
        <v>18</v>
      </c>
      <c r="D565" t="s">
        <v>27</v>
      </c>
      <c r="E565" t="s">
        <v>19</v>
      </c>
      <c r="F565" s="5" t="s">
        <v>565</v>
      </c>
      <c r="G565">
        <v>6</v>
      </c>
      <c r="H565">
        <v>63</v>
      </c>
      <c r="I565">
        <v>80</v>
      </c>
      <c r="J565">
        <v>80</v>
      </c>
      <c r="K565">
        <f t="shared" si="8"/>
        <v>71.5</v>
      </c>
    </row>
    <row r="566" spans="1:11">
      <c r="A566" t="s">
        <v>24</v>
      </c>
      <c r="B566" t="s">
        <v>12</v>
      </c>
      <c r="C566" t="s">
        <v>13</v>
      </c>
      <c r="D566" t="s">
        <v>27</v>
      </c>
      <c r="E566" t="s">
        <v>15</v>
      </c>
      <c r="F566" s="5" t="s">
        <v>566</v>
      </c>
      <c r="G566">
        <v>16</v>
      </c>
      <c r="H566">
        <v>48</v>
      </c>
      <c r="I566">
        <v>51</v>
      </c>
      <c r="J566">
        <v>46</v>
      </c>
      <c r="K566">
        <f t="shared" si="8"/>
        <v>49.5</v>
      </c>
    </row>
    <row r="567" spans="1:11">
      <c r="A567" t="s">
        <v>24</v>
      </c>
      <c r="B567" t="s">
        <v>12</v>
      </c>
      <c r="C567" t="s">
        <v>26</v>
      </c>
      <c r="D567" t="s">
        <v>14</v>
      </c>
      <c r="E567" t="s">
        <v>15</v>
      </c>
      <c r="F567">
        <v>12.703139780000001</v>
      </c>
      <c r="G567">
        <v>16</v>
      </c>
      <c r="H567">
        <v>48</v>
      </c>
      <c r="I567">
        <v>43</v>
      </c>
      <c r="J567">
        <v>45</v>
      </c>
      <c r="K567">
        <f t="shared" si="8"/>
        <v>45.5</v>
      </c>
    </row>
    <row r="568" spans="1:11">
      <c r="A568" t="s">
        <v>11</v>
      </c>
      <c r="B568" t="s">
        <v>69</v>
      </c>
      <c r="C568" t="s">
        <v>13</v>
      </c>
      <c r="D568" t="s">
        <v>27</v>
      </c>
      <c r="E568" t="s">
        <v>19</v>
      </c>
      <c r="F568" s="5" t="s">
        <v>567</v>
      </c>
      <c r="G568">
        <v>17</v>
      </c>
      <c r="H568">
        <v>92</v>
      </c>
      <c r="I568">
        <v>100</v>
      </c>
      <c r="J568">
        <v>100</v>
      </c>
      <c r="K568">
        <f t="shared" si="8"/>
        <v>96</v>
      </c>
    </row>
    <row r="569" spans="1:11">
      <c r="A569" t="s">
        <v>11</v>
      </c>
      <c r="B569" t="s">
        <v>38</v>
      </c>
      <c r="C569" t="s">
        <v>22</v>
      </c>
      <c r="D569" t="s">
        <v>27</v>
      </c>
      <c r="E569" t="s">
        <v>19</v>
      </c>
      <c r="F569" s="5" t="s">
        <v>568</v>
      </c>
      <c r="G569">
        <v>23</v>
      </c>
      <c r="H569">
        <v>61</v>
      </c>
      <c r="I569">
        <v>71</v>
      </c>
      <c r="J569">
        <v>78</v>
      </c>
      <c r="K569">
        <f t="shared" si="8"/>
        <v>66</v>
      </c>
    </row>
    <row r="570" spans="1:11">
      <c r="A570" t="s">
        <v>24</v>
      </c>
      <c r="B570" t="s">
        <v>12</v>
      </c>
      <c r="C570" t="s">
        <v>39</v>
      </c>
      <c r="D570" t="s">
        <v>27</v>
      </c>
      <c r="E570" t="s">
        <v>15</v>
      </c>
      <c r="F570" s="5" t="s">
        <v>569</v>
      </c>
      <c r="G570">
        <v>0</v>
      </c>
      <c r="H570">
        <v>63</v>
      </c>
      <c r="I570">
        <v>48</v>
      </c>
      <c r="J570">
        <v>47</v>
      </c>
      <c r="K570">
        <f t="shared" si="8"/>
        <v>55.5</v>
      </c>
    </row>
    <row r="571" spans="1:11">
      <c r="A571" t="s">
        <v>24</v>
      </c>
      <c r="B571" t="s">
        <v>38</v>
      </c>
      <c r="C571" t="s">
        <v>13</v>
      </c>
      <c r="D571" t="s">
        <v>27</v>
      </c>
      <c r="E571" t="s">
        <v>15</v>
      </c>
      <c r="F571" s="5" t="s">
        <v>570</v>
      </c>
      <c r="G571">
        <v>0</v>
      </c>
      <c r="H571">
        <v>68</v>
      </c>
      <c r="I571">
        <v>68</v>
      </c>
      <c r="J571">
        <v>67</v>
      </c>
      <c r="K571">
        <f t="shared" si="8"/>
        <v>68</v>
      </c>
    </row>
    <row r="572" spans="1:11">
      <c r="A572" t="s">
        <v>24</v>
      </c>
      <c r="B572" t="s">
        <v>12</v>
      </c>
      <c r="C572" t="s">
        <v>18</v>
      </c>
      <c r="D572" t="s">
        <v>14</v>
      </c>
      <c r="E572" t="s">
        <v>19</v>
      </c>
      <c r="F572" s="5" t="s">
        <v>571</v>
      </c>
      <c r="G572">
        <v>21</v>
      </c>
      <c r="H572">
        <v>71</v>
      </c>
      <c r="I572">
        <v>75</v>
      </c>
      <c r="J572">
        <v>70</v>
      </c>
      <c r="K572">
        <f t="shared" si="8"/>
        <v>73</v>
      </c>
    </row>
    <row r="573" spans="1:11">
      <c r="A573" t="s">
        <v>24</v>
      </c>
      <c r="B573" t="s">
        <v>25</v>
      </c>
      <c r="C573" t="s">
        <v>13</v>
      </c>
      <c r="D573" t="s">
        <v>14</v>
      </c>
      <c r="E573" t="s">
        <v>15</v>
      </c>
      <c r="F573" s="5" t="s">
        <v>572</v>
      </c>
      <c r="G573">
        <v>8</v>
      </c>
      <c r="H573">
        <v>91</v>
      </c>
      <c r="I573">
        <v>96</v>
      </c>
      <c r="J573">
        <v>92</v>
      </c>
      <c r="K573">
        <f t="shared" si="8"/>
        <v>93.5</v>
      </c>
    </row>
    <row r="574" spans="1:11">
      <c r="A574" t="s">
        <v>11</v>
      </c>
      <c r="B574" t="s">
        <v>17</v>
      </c>
      <c r="C574" t="s">
        <v>18</v>
      </c>
      <c r="D574" t="s">
        <v>14</v>
      </c>
      <c r="E574" t="s">
        <v>15</v>
      </c>
      <c r="F574" s="5" t="s">
        <v>573</v>
      </c>
      <c r="G574">
        <v>12</v>
      </c>
      <c r="H574">
        <v>53</v>
      </c>
      <c r="I574">
        <v>62</v>
      </c>
      <c r="J574">
        <v>56</v>
      </c>
      <c r="K574">
        <f t="shared" si="8"/>
        <v>57.5</v>
      </c>
    </row>
    <row r="575" spans="1:11">
      <c r="A575" t="s">
        <v>11</v>
      </c>
      <c r="B575" t="s">
        <v>17</v>
      </c>
      <c r="C575" t="s">
        <v>39</v>
      </c>
      <c r="D575" t="s">
        <v>27</v>
      </c>
      <c r="E575" t="s">
        <v>19</v>
      </c>
      <c r="F575" s="5" t="s">
        <v>574</v>
      </c>
      <c r="G575">
        <v>15</v>
      </c>
      <c r="H575">
        <v>50</v>
      </c>
      <c r="I575">
        <v>66</v>
      </c>
      <c r="J575">
        <v>64</v>
      </c>
      <c r="K575">
        <f t="shared" si="8"/>
        <v>58</v>
      </c>
    </row>
    <row r="576" spans="1:11">
      <c r="A576" t="s">
        <v>11</v>
      </c>
      <c r="B576" t="s">
        <v>69</v>
      </c>
      <c r="C576" t="s">
        <v>39</v>
      </c>
      <c r="D576" t="s">
        <v>14</v>
      </c>
      <c r="E576" t="s">
        <v>15</v>
      </c>
      <c r="F576" s="5" t="s">
        <v>575</v>
      </c>
      <c r="G576">
        <v>7</v>
      </c>
      <c r="H576">
        <v>74</v>
      </c>
      <c r="I576">
        <v>81</v>
      </c>
      <c r="J576">
        <v>71</v>
      </c>
      <c r="K576">
        <f t="shared" si="8"/>
        <v>77.5</v>
      </c>
    </row>
    <row r="577" spans="1:11">
      <c r="A577" t="s">
        <v>24</v>
      </c>
      <c r="B577" t="s">
        <v>25</v>
      </c>
      <c r="C577" t="s">
        <v>26</v>
      </c>
      <c r="D577" t="s">
        <v>27</v>
      </c>
      <c r="E577" t="s">
        <v>19</v>
      </c>
      <c r="F577" s="5" t="s">
        <v>576</v>
      </c>
      <c r="G577">
        <v>19</v>
      </c>
      <c r="H577">
        <v>40</v>
      </c>
      <c r="I577">
        <v>55</v>
      </c>
      <c r="J577">
        <v>53</v>
      </c>
      <c r="K577">
        <f t="shared" si="8"/>
        <v>47.5</v>
      </c>
    </row>
    <row r="578" spans="1:11">
      <c r="A578" t="s">
        <v>24</v>
      </c>
      <c r="B578" t="s">
        <v>25</v>
      </c>
      <c r="C578" t="s">
        <v>18</v>
      </c>
      <c r="D578" t="s">
        <v>14</v>
      </c>
      <c r="E578" t="s">
        <v>19</v>
      </c>
      <c r="F578" s="5" t="s">
        <v>577</v>
      </c>
      <c r="G578">
        <v>16</v>
      </c>
      <c r="H578">
        <v>61</v>
      </c>
      <c r="I578">
        <v>51</v>
      </c>
      <c r="J578">
        <v>52</v>
      </c>
      <c r="K578">
        <f t="shared" si="8"/>
        <v>56</v>
      </c>
    </row>
    <row r="579" spans="1:11">
      <c r="A579" t="s">
        <v>11</v>
      </c>
      <c r="B579" t="s">
        <v>12</v>
      </c>
      <c r="C579" t="s">
        <v>39</v>
      </c>
      <c r="D579" t="s">
        <v>14</v>
      </c>
      <c r="E579" t="s">
        <v>15</v>
      </c>
      <c r="F579" s="5" t="s">
        <v>578</v>
      </c>
      <c r="G579">
        <v>11</v>
      </c>
      <c r="H579">
        <v>81</v>
      </c>
      <c r="I579">
        <v>91</v>
      </c>
      <c r="J579">
        <v>89</v>
      </c>
      <c r="K579">
        <f t="shared" ref="K579:K642" si="9">(H579+I579)/2</f>
        <v>86</v>
      </c>
    </row>
    <row r="580" spans="1:11">
      <c r="A580" t="s">
        <v>11</v>
      </c>
      <c r="B580" t="s">
        <v>12</v>
      </c>
      <c r="C580" t="s">
        <v>18</v>
      </c>
      <c r="D580" t="s">
        <v>27</v>
      </c>
      <c r="E580" t="s">
        <v>19</v>
      </c>
      <c r="F580" s="5" t="s">
        <v>579</v>
      </c>
      <c r="G580">
        <v>21</v>
      </c>
      <c r="H580">
        <v>48</v>
      </c>
      <c r="I580">
        <v>56</v>
      </c>
      <c r="J580">
        <v>58</v>
      </c>
      <c r="K580">
        <f t="shared" si="9"/>
        <v>52</v>
      </c>
    </row>
    <row r="581" spans="1:11">
      <c r="A581" t="s">
        <v>11</v>
      </c>
      <c r="B581" t="s">
        <v>38</v>
      </c>
      <c r="C581" t="s">
        <v>22</v>
      </c>
      <c r="D581" t="s">
        <v>14</v>
      </c>
      <c r="E581" t="s">
        <v>15</v>
      </c>
      <c r="F581" s="5" t="s">
        <v>580</v>
      </c>
      <c r="G581">
        <v>9</v>
      </c>
      <c r="H581">
        <v>53</v>
      </c>
      <c r="I581">
        <v>61</v>
      </c>
      <c r="J581">
        <v>68</v>
      </c>
      <c r="K581">
        <f t="shared" si="9"/>
        <v>57</v>
      </c>
    </row>
    <row r="582" spans="1:11">
      <c r="A582" t="s">
        <v>11</v>
      </c>
      <c r="B582" t="s">
        <v>38</v>
      </c>
      <c r="C582" t="s">
        <v>50</v>
      </c>
      <c r="D582" t="s">
        <v>14</v>
      </c>
      <c r="E582" t="s">
        <v>15</v>
      </c>
      <c r="F582" s="5" t="s">
        <v>581</v>
      </c>
      <c r="G582">
        <v>21</v>
      </c>
      <c r="H582">
        <v>81</v>
      </c>
      <c r="I582">
        <v>97</v>
      </c>
      <c r="J582">
        <v>96</v>
      </c>
      <c r="K582">
        <f t="shared" si="9"/>
        <v>89</v>
      </c>
    </row>
    <row r="583" spans="1:11">
      <c r="A583" t="s">
        <v>11</v>
      </c>
      <c r="B583" t="s">
        <v>69</v>
      </c>
      <c r="C583" t="s">
        <v>50</v>
      </c>
      <c r="D583" t="s">
        <v>14</v>
      </c>
      <c r="E583" t="s">
        <v>15</v>
      </c>
      <c r="F583" s="5" t="s">
        <v>582</v>
      </c>
      <c r="G583">
        <v>14</v>
      </c>
      <c r="H583">
        <v>77</v>
      </c>
      <c r="I583">
        <v>79</v>
      </c>
      <c r="J583">
        <v>80</v>
      </c>
      <c r="K583">
        <f t="shared" si="9"/>
        <v>78</v>
      </c>
    </row>
    <row r="584" spans="1:11">
      <c r="A584" t="s">
        <v>11</v>
      </c>
      <c r="B584" t="s">
        <v>38</v>
      </c>
      <c r="C584" t="s">
        <v>13</v>
      </c>
      <c r="D584" t="s">
        <v>27</v>
      </c>
      <c r="E584" t="s">
        <v>15</v>
      </c>
      <c r="F584" s="5" t="s">
        <v>583</v>
      </c>
      <c r="G584">
        <v>23</v>
      </c>
      <c r="H584">
        <v>63</v>
      </c>
      <c r="I584">
        <v>73</v>
      </c>
      <c r="J584">
        <v>78</v>
      </c>
      <c r="K584">
        <f t="shared" si="9"/>
        <v>68</v>
      </c>
    </row>
    <row r="585" spans="1:11">
      <c r="A585" t="s">
        <v>11</v>
      </c>
      <c r="B585" t="s">
        <v>38</v>
      </c>
      <c r="C585" t="s">
        <v>26</v>
      </c>
      <c r="D585" t="s">
        <v>14</v>
      </c>
      <c r="E585" t="s">
        <v>19</v>
      </c>
      <c r="F585" s="5" t="s">
        <v>584</v>
      </c>
      <c r="G585">
        <v>6</v>
      </c>
      <c r="H585">
        <v>73</v>
      </c>
      <c r="I585">
        <v>75</v>
      </c>
      <c r="J585">
        <v>80</v>
      </c>
      <c r="K585">
        <f t="shared" si="9"/>
        <v>74</v>
      </c>
    </row>
    <row r="586" spans="1:11">
      <c r="A586" t="s">
        <v>11</v>
      </c>
      <c r="B586" t="s">
        <v>38</v>
      </c>
      <c r="C586" t="s">
        <v>18</v>
      </c>
      <c r="D586" t="s">
        <v>14</v>
      </c>
      <c r="E586" t="s">
        <v>15</v>
      </c>
      <c r="F586" s="5" t="s">
        <v>585</v>
      </c>
      <c r="G586">
        <v>5</v>
      </c>
      <c r="H586">
        <v>69</v>
      </c>
      <c r="I586">
        <v>77</v>
      </c>
      <c r="J586">
        <v>77</v>
      </c>
      <c r="K586">
        <f t="shared" si="9"/>
        <v>73</v>
      </c>
    </row>
    <row r="587" spans="1:11">
      <c r="A587" t="s">
        <v>11</v>
      </c>
      <c r="B587" t="s">
        <v>17</v>
      </c>
      <c r="C587" t="s">
        <v>26</v>
      </c>
      <c r="D587" t="s">
        <v>14</v>
      </c>
      <c r="E587" t="s">
        <v>15</v>
      </c>
      <c r="F587" s="5" t="s">
        <v>586</v>
      </c>
      <c r="G587">
        <v>24</v>
      </c>
      <c r="H587">
        <v>65</v>
      </c>
      <c r="I587">
        <v>76</v>
      </c>
      <c r="J587">
        <v>76</v>
      </c>
      <c r="K587">
        <f t="shared" si="9"/>
        <v>70.5</v>
      </c>
    </row>
    <row r="588" spans="1:11">
      <c r="A588" t="s">
        <v>11</v>
      </c>
      <c r="B588" t="s">
        <v>25</v>
      </c>
      <c r="C588" t="s">
        <v>39</v>
      </c>
      <c r="D588" t="s">
        <v>14</v>
      </c>
      <c r="E588" t="s">
        <v>15</v>
      </c>
      <c r="F588" s="5" t="s">
        <v>587</v>
      </c>
      <c r="G588">
        <v>4</v>
      </c>
      <c r="H588">
        <v>55</v>
      </c>
      <c r="I588">
        <v>73</v>
      </c>
      <c r="J588">
        <v>73</v>
      </c>
      <c r="K588">
        <f t="shared" si="9"/>
        <v>64</v>
      </c>
    </row>
    <row r="589" spans="1:11">
      <c r="A589" t="s">
        <v>11</v>
      </c>
      <c r="B589" t="s">
        <v>17</v>
      </c>
      <c r="C589" t="s">
        <v>13</v>
      </c>
      <c r="D589" t="s">
        <v>27</v>
      </c>
      <c r="E589" t="s">
        <v>15</v>
      </c>
      <c r="F589" s="5" t="s">
        <v>588</v>
      </c>
      <c r="G589">
        <v>8</v>
      </c>
      <c r="H589">
        <v>44</v>
      </c>
      <c r="I589">
        <v>63</v>
      </c>
      <c r="J589">
        <v>62</v>
      </c>
      <c r="K589">
        <f t="shared" si="9"/>
        <v>53.5</v>
      </c>
    </row>
    <row r="590" spans="1:11">
      <c r="A590" t="s">
        <v>11</v>
      </c>
      <c r="B590" t="s">
        <v>17</v>
      </c>
      <c r="C590" t="s">
        <v>18</v>
      </c>
      <c r="D590" t="s">
        <v>14</v>
      </c>
      <c r="E590" t="s">
        <v>15</v>
      </c>
      <c r="F590" s="5" t="s">
        <v>589</v>
      </c>
      <c r="G590">
        <v>5</v>
      </c>
      <c r="H590">
        <v>54</v>
      </c>
      <c r="I590">
        <v>64</v>
      </c>
      <c r="J590">
        <v>65</v>
      </c>
      <c r="K590">
        <f t="shared" si="9"/>
        <v>59</v>
      </c>
    </row>
    <row r="591" spans="1:11">
      <c r="A591" t="s">
        <v>11</v>
      </c>
      <c r="B591" t="s">
        <v>25</v>
      </c>
      <c r="C591" t="s">
        <v>50</v>
      </c>
      <c r="D591" t="s">
        <v>14</v>
      </c>
      <c r="E591" t="s">
        <v>15</v>
      </c>
      <c r="F591" s="5" t="s">
        <v>590</v>
      </c>
      <c r="G591">
        <v>10</v>
      </c>
      <c r="H591">
        <v>48</v>
      </c>
      <c r="I591">
        <v>66</v>
      </c>
      <c r="J591">
        <v>65</v>
      </c>
      <c r="K591">
        <f t="shared" si="9"/>
        <v>57</v>
      </c>
    </row>
    <row r="592" spans="1:11">
      <c r="A592" t="s">
        <v>24</v>
      </c>
      <c r="B592" t="s">
        <v>17</v>
      </c>
      <c r="C592" t="s">
        <v>18</v>
      </c>
      <c r="D592" t="s">
        <v>27</v>
      </c>
      <c r="E592" t="s">
        <v>15</v>
      </c>
      <c r="F592" s="5" t="s">
        <v>591</v>
      </c>
      <c r="G592">
        <v>1</v>
      </c>
      <c r="H592">
        <v>58</v>
      </c>
      <c r="I592">
        <v>57</v>
      </c>
      <c r="J592">
        <v>54</v>
      </c>
      <c r="K592">
        <f t="shared" si="9"/>
        <v>57.5</v>
      </c>
    </row>
    <row r="593" spans="1:11">
      <c r="A593" t="s">
        <v>24</v>
      </c>
      <c r="B593" t="s">
        <v>25</v>
      </c>
      <c r="C593" t="s">
        <v>50</v>
      </c>
      <c r="D593" t="s">
        <v>14</v>
      </c>
      <c r="E593" t="s">
        <v>15</v>
      </c>
      <c r="F593" s="5" t="s">
        <v>592</v>
      </c>
      <c r="G593">
        <v>8</v>
      </c>
      <c r="H593">
        <v>71</v>
      </c>
      <c r="I593">
        <v>62</v>
      </c>
      <c r="J593">
        <v>50</v>
      </c>
      <c r="K593">
        <f t="shared" si="9"/>
        <v>66.5</v>
      </c>
    </row>
    <row r="594" spans="1:11">
      <c r="A594" t="s">
        <v>24</v>
      </c>
      <c r="B594" t="s">
        <v>69</v>
      </c>
      <c r="C594" t="s">
        <v>13</v>
      </c>
      <c r="D594" t="s">
        <v>14</v>
      </c>
      <c r="E594" t="s">
        <v>15</v>
      </c>
      <c r="F594" s="5" t="s">
        <v>593</v>
      </c>
      <c r="G594">
        <v>3</v>
      </c>
      <c r="H594">
        <v>68</v>
      </c>
      <c r="I594">
        <v>68</v>
      </c>
      <c r="J594">
        <v>64</v>
      </c>
      <c r="K594">
        <f t="shared" si="9"/>
        <v>68</v>
      </c>
    </row>
    <row r="595" spans="1:11">
      <c r="A595" t="s">
        <v>11</v>
      </c>
      <c r="B595" t="s">
        <v>69</v>
      </c>
      <c r="C595" t="s">
        <v>39</v>
      </c>
      <c r="D595" t="s">
        <v>14</v>
      </c>
      <c r="E595" t="s">
        <v>15</v>
      </c>
      <c r="F595" s="5" t="s">
        <v>594</v>
      </c>
      <c r="G595">
        <v>5</v>
      </c>
      <c r="H595">
        <v>74</v>
      </c>
      <c r="I595">
        <v>76</v>
      </c>
      <c r="J595">
        <v>73</v>
      </c>
      <c r="K595">
        <f t="shared" si="9"/>
        <v>75</v>
      </c>
    </row>
    <row r="596" spans="1:11">
      <c r="A596" t="s">
        <v>11</v>
      </c>
      <c r="B596" t="s">
        <v>17</v>
      </c>
      <c r="C596" t="s">
        <v>13</v>
      </c>
      <c r="D596" t="s">
        <v>14</v>
      </c>
      <c r="E596" t="s">
        <v>19</v>
      </c>
      <c r="F596" s="5" t="s">
        <v>595</v>
      </c>
      <c r="G596">
        <v>27</v>
      </c>
      <c r="H596">
        <v>92</v>
      </c>
      <c r="I596">
        <v>100</v>
      </c>
      <c r="J596">
        <v>99</v>
      </c>
      <c r="K596">
        <f t="shared" si="9"/>
        <v>96</v>
      </c>
    </row>
    <row r="597" spans="1:11">
      <c r="A597" t="s">
        <v>11</v>
      </c>
      <c r="B597" t="s">
        <v>17</v>
      </c>
      <c r="C597" t="s">
        <v>13</v>
      </c>
      <c r="D597" t="s">
        <v>14</v>
      </c>
      <c r="E597" t="s">
        <v>19</v>
      </c>
      <c r="F597" s="5" t="s">
        <v>596</v>
      </c>
      <c r="G597">
        <v>8</v>
      </c>
      <c r="H597">
        <v>56</v>
      </c>
      <c r="I597">
        <v>79</v>
      </c>
      <c r="J597">
        <v>72</v>
      </c>
      <c r="K597">
        <f t="shared" si="9"/>
        <v>67.5</v>
      </c>
    </row>
    <row r="598" spans="1:11">
      <c r="A598" t="s">
        <v>24</v>
      </c>
      <c r="B598" t="s">
        <v>12</v>
      </c>
      <c r="C598" t="s">
        <v>39</v>
      </c>
      <c r="D598" t="s">
        <v>27</v>
      </c>
      <c r="E598" t="s">
        <v>15</v>
      </c>
      <c r="F598" s="5" t="s">
        <v>597</v>
      </c>
      <c r="G598">
        <v>24</v>
      </c>
      <c r="H598">
        <v>30</v>
      </c>
      <c r="I598">
        <v>24</v>
      </c>
      <c r="J598">
        <v>15</v>
      </c>
      <c r="K598">
        <f t="shared" si="9"/>
        <v>27</v>
      </c>
    </row>
    <row r="599" spans="1:11">
      <c r="A599" t="s">
        <v>24</v>
      </c>
      <c r="B599" t="s">
        <v>25</v>
      </c>
      <c r="C599" t="s">
        <v>50</v>
      </c>
      <c r="D599" t="s">
        <v>14</v>
      </c>
      <c r="E599" t="s">
        <v>15</v>
      </c>
      <c r="F599" s="5" t="s">
        <v>598</v>
      </c>
      <c r="G599">
        <v>20</v>
      </c>
      <c r="H599">
        <v>53</v>
      </c>
      <c r="I599">
        <v>54</v>
      </c>
      <c r="J599">
        <v>48</v>
      </c>
      <c r="K599">
        <f t="shared" si="9"/>
        <v>53.5</v>
      </c>
    </row>
    <row r="600" spans="1:11">
      <c r="A600" t="s">
        <v>11</v>
      </c>
      <c r="B600" t="s">
        <v>38</v>
      </c>
      <c r="C600" t="s">
        <v>39</v>
      </c>
      <c r="D600" t="s">
        <v>14</v>
      </c>
      <c r="E600" t="s">
        <v>15</v>
      </c>
      <c r="F600" s="5" t="s">
        <v>599</v>
      </c>
      <c r="G600">
        <v>10</v>
      </c>
      <c r="H600">
        <v>69</v>
      </c>
      <c r="I600">
        <v>77</v>
      </c>
      <c r="J600">
        <v>73</v>
      </c>
      <c r="K600">
        <f t="shared" si="9"/>
        <v>73</v>
      </c>
    </row>
    <row r="601" spans="1:11">
      <c r="A601" t="s">
        <v>11</v>
      </c>
      <c r="B601" t="s">
        <v>38</v>
      </c>
      <c r="C601" t="s">
        <v>50</v>
      </c>
      <c r="D601" t="s">
        <v>14</v>
      </c>
      <c r="E601" t="s">
        <v>15</v>
      </c>
      <c r="F601" s="5" t="s">
        <v>600</v>
      </c>
      <c r="G601">
        <v>4</v>
      </c>
      <c r="H601">
        <v>65</v>
      </c>
      <c r="I601">
        <v>82</v>
      </c>
      <c r="J601">
        <v>81</v>
      </c>
      <c r="K601">
        <f t="shared" si="9"/>
        <v>73.5</v>
      </c>
    </row>
    <row r="602" spans="1:11">
      <c r="A602" t="s">
        <v>11</v>
      </c>
      <c r="B602" t="s">
        <v>38</v>
      </c>
      <c r="C602" t="s">
        <v>22</v>
      </c>
      <c r="D602" t="s">
        <v>14</v>
      </c>
      <c r="E602" t="s">
        <v>15</v>
      </c>
      <c r="F602" s="5" t="s">
        <v>601</v>
      </c>
      <c r="G602">
        <v>17</v>
      </c>
      <c r="H602">
        <v>54</v>
      </c>
      <c r="I602">
        <v>60</v>
      </c>
      <c r="J602">
        <v>63</v>
      </c>
      <c r="K602">
        <f t="shared" si="9"/>
        <v>57</v>
      </c>
    </row>
    <row r="603" spans="1:11">
      <c r="A603" t="s">
        <v>11</v>
      </c>
      <c r="B603" t="s">
        <v>17</v>
      </c>
      <c r="C603" t="s">
        <v>39</v>
      </c>
      <c r="D603" t="s">
        <v>14</v>
      </c>
      <c r="E603" t="s">
        <v>15</v>
      </c>
      <c r="F603" s="5" t="s">
        <v>602</v>
      </c>
      <c r="G603">
        <v>5</v>
      </c>
      <c r="H603">
        <v>29</v>
      </c>
      <c r="I603">
        <v>29</v>
      </c>
      <c r="J603">
        <v>30</v>
      </c>
      <c r="K603">
        <f t="shared" si="9"/>
        <v>29</v>
      </c>
    </row>
    <row r="604" spans="1:11">
      <c r="A604" t="s">
        <v>11</v>
      </c>
      <c r="B604" t="s">
        <v>69</v>
      </c>
      <c r="C604" t="s">
        <v>18</v>
      </c>
      <c r="D604" t="s">
        <v>14</v>
      </c>
      <c r="E604" t="s">
        <v>15</v>
      </c>
      <c r="F604" s="5" t="s">
        <v>603</v>
      </c>
      <c r="G604">
        <v>12</v>
      </c>
      <c r="H604">
        <v>76</v>
      </c>
      <c r="I604">
        <v>78</v>
      </c>
      <c r="J604">
        <v>80</v>
      </c>
      <c r="K604">
        <f t="shared" si="9"/>
        <v>77</v>
      </c>
    </row>
    <row r="605" spans="1:11">
      <c r="A605" t="s">
        <v>24</v>
      </c>
      <c r="B605" t="s">
        <v>38</v>
      </c>
      <c r="C605" t="s">
        <v>39</v>
      </c>
      <c r="D605" t="s">
        <v>27</v>
      </c>
      <c r="E605" t="s">
        <v>15</v>
      </c>
      <c r="F605" s="5" t="s">
        <v>604</v>
      </c>
      <c r="G605">
        <v>9</v>
      </c>
      <c r="H605">
        <v>60</v>
      </c>
      <c r="I605">
        <v>57</v>
      </c>
      <c r="J605">
        <v>51</v>
      </c>
      <c r="K605">
        <f t="shared" si="9"/>
        <v>58.5</v>
      </c>
    </row>
    <row r="606" spans="1:11">
      <c r="A606" t="s">
        <v>24</v>
      </c>
      <c r="B606" t="s">
        <v>38</v>
      </c>
      <c r="C606" t="s">
        <v>22</v>
      </c>
      <c r="D606" t="s">
        <v>27</v>
      </c>
      <c r="E606" t="s">
        <v>19</v>
      </c>
      <c r="F606" s="5" t="s">
        <v>605</v>
      </c>
      <c r="G606">
        <v>12</v>
      </c>
      <c r="H606">
        <v>84</v>
      </c>
      <c r="I606">
        <v>89</v>
      </c>
      <c r="J606">
        <v>90</v>
      </c>
      <c r="K606">
        <f t="shared" si="9"/>
        <v>86.5</v>
      </c>
    </row>
    <row r="607" spans="1:11">
      <c r="A607" t="s">
        <v>24</v>
      </c>
      <c r="B607" t="s">
        <v>17</v>
      </c>
      <c r="C607" t="s">
        <v>50</v>
      </c>
      <c r="D607" t="s">
        <v>14</v>
      </c>
      <c r="E607" t="s">
        <v>15</v>
      </c>
      <c r="F607">
        <v>6.0455340099999999</v>
      </c>
      <c r="G607">
        <v>15</v>
      </c>
      <c r="H607">
        <v>75</v>
      </c>
      <c r="I607">
        <v>72</v>
      </c>
      <c r="J607">
        <v>62</v>
      </c>
      <c r="K607">
        <f t="shared" si="9"/>
        <v>73.5</v>
      </c>
    </row>
    <row r="608" spans="1:11">
      <c r="A608" t="s">
        <v>11</v>
      </c>
      <c r="B608" t="s">
        <v>17</v>
      </c>
      <c r="C608" t="s">
        <v>26</v>
      </c>
      <c r="D608" t="s">
        <v>14</v>
      </c>
      <c r="E608" t="s">
        <v>15</v>
      </c>
      <c r="F608" s="5" t="s">
        <v>606</v>
      </c>
      <c r="G608">
        <v>27</v>
      </c>
      <c r="H608">
        <v>85</v>
      </c>
      <c r="I608">
        <v>84</v>
      </c>
      <c r="J608">
        <v>82</v>
      </c>
      <c r="K608">
        <f t="shared" si="9"/>
        <v>84.5</v>
      </c>
    </row>
    <row r="609" spans="1:11">
      <c r="A609" t="s">
        <v>11</v>
      </c>
      <c r="B609" t="s">
        <v>17</v>
      </c>
      <c r="C609" t="s">
        <v>22</v>
      </c>
      <c r="D609" t="s">
        <v>27</v>
      </c>
      <c r="E609" t="s">
        <v>15</v>
      </c>
      <c r="F609" s="5" t="s">
        <v>607</v>
      </c>
      <c r="G609">
        <v>15</v>
      </c>
      <c r="H609">
        <v>40</v>
      </c>
      <c r="I609">
        <v>58</v>
      </c>
      <c r="J609">
        <v>54</v>
      </c>
      <c r="K609">
        <f t="shared" si="9"/>
        <v>49</v>
      </c>
    </row>
    <row r="610" spans="1:11">
      <c r="A610" t="s">
        <v>11</v>
      </c>
      <c r="B610" t="s">
        <v>69</v>
      </c>
      <c r="C610" t="s">
        <v>18</v>
      </c>
      <c r="D610" t="s">
        <v>14</v>
      </c>
      <c r="E610" t="s">
        <v>15</v>
      </c>
      <c r="F610" s="5" t="s">
        <v>608</v>
      </c>
      <c r="G610">
        <v>20</v>
      </c>
      <c r="H610">
        <v>61</v>
      </c>
      <c r="I610">
        <v>64</v>
      </c>
      <c r="J610">
        <v>62</v>
      </c>
      <c r="K610">
        <f t="shared" si="9"/>
        <v>62.5</v>
      </c>
    </row>
    <row r="611" spans="1:11">
      <c r="A611" t="s">
        <v>11</v>
      </c>
      <c r="B611" t="s">
        <v>12</v>
      </c>
      <c r="C611" t="s">
        <v>26</v>
      </c>
      <c r="D611" t="s">
        <v>14</v>
      </c>
      <c r="E611" t="s">
        <v>15</v>
      </c>
      <c r="F611" s="5" t="s">
        <v>609</v>
      </c>
      <c r="G611">
        <v>6</v>
      </c>
      <c r="H611">
        <v>58</v>
      </c>
      <c r="I611">
        <v>63</v>
      </c>
      <c r="J611">
        <v>65</v>
      </c>
      <c r="K611">
        <f t="shared" si="9"/>
        <v>60.5</v>
      </c>
    </row>
    <row r="612" spans="1:11">
      <c r="A612" t="s">
        <v>24</v>
      </c>
      <c r="B612" t="s">
        <v>38</v>
      </c>
      <c r="C612" t="s">
        <v>18</v>
      </c>
      <c r="D612" t="s">
        <v>27</v>
      </c>
      <c r="E612" t="s">
        <v>19</v>
      </c>
      <c r="F612" s="5" t="s">
        <v>610</v>
      </c>
      <c r="G612">
        <v>26</v>
      </c>
      <c r="H612">
        <v>69</v>
      </c>
      <c r="I612">
        <v>60</v>
      </c>
      <c r="J612">
        <v>63</v>
      </c>
      <c r="K612">
        <f t="shared" si="9"/>
        <v>64.5</v>
      </c>
    </row>
    <row r="613" spans="1:11">
      <c r="A613" t="s">
        <v>11</v>
      </c>
      <c r="B613" t="s">
        <v>17</v>
      </c>
      <c r="C613" t="s">
        <v>18</v>
      </c>
      <c r="D613" t="s">
        <v>14</v>
      </c>
      <c r="E613" t="s">
        <v>15</v>
      </c>
      <c r="F613" s="5" t="s">
        <v>611</v>
      </c>
      <c r="G613">
        <v>22</v>
      </c>
      <c r="H613">
        <v>58</v>
      </c>
      <c r="I613">
        <v>59</v>
      </c>
      <c r="J613">
        <v>66</v>
      </c>
      <c r="K613">
        <f t="shared" si="9"/>
        <v>58.5</v>
      </c>
    </row>
    <row r="614" spans="1:11">
      <c r="A614" t="s">
        <v>24</v>
      </c>
      <c r="B614" t="s">
        <v>17</v>
      </c>
      <c r="C614" t="s">
        <v>13</v>
      </c>
      <c r="D614" t="s">
        <v>14</v>
      </c>
      <c r="E614" t="s">
        <v>19</v>
      </c>
      <c r="F614" s="5" t="s">
        <v>612</v>
      </c>
      <c r="G614">
        <v>2</v>
      </c>
      <c r="H614">
        <v>94</v>
      </c>
      <c r="I614">
        <v>90</v>
      </c>
      <c r="J614">
        <v>91</v>
      </c>
      <c r="K614">
        <f t="shared" si="9"/>
        <v>92</v>
      </c>
    </row>
    <row r="615" spans="1:11">
      <c r="A615" t="s">
        <v>11</v>
      </c>
      <c r="B615" t="s">
        <v>17</v>
      </c>
      <c r="C615" t="s">
        <v>26</v>
      </c>
      <c r="D615" t="s">
        <v>14</v>
      </c>
      <c r="E615" t="s">
        <v>15</v>
      </c>
      <c r="F615" s="5" t="s">
        <v>613</v>
      </c>
      <c r="G615">
        <v>11</v>
      </c>
      <c r="H615">
        <v>65</v>
      </c>
      <c r="I615">
        <v>77</v>
      </c>
      <c r="J615">
        <v>74</v>
      </c>
      <c r="K615">
        <f t="shared" si="9"/>
        <v>71</v>
      </c>
    </row>
    <row r="616" spans="1:11">
      <c r="A616" t="s">
        <v>11</v>
      </c>
      <c r="B616" t="s">
        <v>25</v>
      </c>
      <c r="C616" t="s">
        <v>26</v>
      </c>
      <c r="D616" t="s">
        <v>14</v>
      </c>
      <c r="E616" t="s">
        <v>15</v>
      </c>
      <c r="F616" s="5" t="s">
        <v>614</v>
      </c>
      <c r="G616">
        <v>3</v>
      </c>
      <c r="H616">
        <v>82</v>
      </c>
      <c r="I616">
        <v>93</v>
      </c>
      <c r="J616">
        <v>93</v>
      </c>
      <c r="K616">
        <f t="shared" si="9"/>
        <v>87.5</v>
      </c>
    </row>
    <row r="617" spans="1:11">
      <c r="A617" t="s">
        <v>11</v>
      </c>
      <c r="B617" t="s">
        <v>17</v>
      </c>
      <c r="C617" t="s">
        <v>39</v>
      </c>
      <c r="D617" t="s">
        <v>14</v>
      </c>
      <c r="E617" t="s">
        <v>15</v>
      </c>
      <c r="F617" s="5" t="s">
        <v>615</v>
      </c>
      <c r="G617">
        <v>16</v>
      </c>
      <c r="H617">
        <v>60</v>
      </c>
      <c r="I617">
        <v>68</v>
      </c>
      <c r="J617">
        <v>72</v>
      </c>
      <c r="K617">
        <f t="shared" si="9"/>
        <v>64</v>
      </c>
    </row>
    <row r="618" spans="1:11">
      <c r="A618" t="s">
        <v>11</v>
      </c>
      <c r="B618" t="s">
        <v>69</v>
      </c>
      <c r="C618" t="s">
        <v>13</v>
      </c>
      <c r="D618" t="s">
        <v>14</v>
      </c>
      <c r="E618" t="s">
        <v>15</v>
      </c>
      <c r="F618" s="5" t="s">
        <v>616</v>
      </c>
      <c r="G618">
        <v>27</v>
      </c>
      <c r="H618">
        <v>37</v>
      </c>
      <c r="I618">
        <v>45</v>
      </c>
      <c r="J618">
        <v>38</v>
      </c>
      <c r="K618">
        <f t="shared" si="9"/>
        <v>41</v>
      </c>
    </row>
    <row r="619" spans="1:11">
      <c r="A619" t="s">
        <v>24</v>
      </c>
      <c r="B619" t="s">
        <v>38</v>
      </c>
      <c r="C619" t="s">
        <v>13</v>
      </c>
      <c r="D619" t="s">
        <v>14</v>
      </c>
      <c r="E619" t="s">
        <v>15</v>
      </c>
      <c r="F619" s="5" t="s">
        <v>617</v>
      </c>
      <c r="G619">
        <v>22</v>
      </c>
      <c r="H619">
        <v>88</v>
      </c>
      <c r="I619">
        <v>78</v>
      </c>
      <c r="J619">
        <v>83</v>
      </c>
      <c r="K619">
        <f t="shared" si="9"/>
        <v>83</v>
      </c>
    </row>
    <row r="620" spans="1:11">
      <c r="A620" t="s">
        <v>24</v>
      </c>
      <c r="B620" t="s">
        <v>38</v>
      </c>
      <c r="C620" t="s">
        <v>22</v>
      </c>
      <c r="D620" t="s">
        <v>14</v>
      </c>
      <c r="E620" t="s">
        <v>15</v>
      </c>
      <c r="F620" s="5" t="s">
        <v>618</v>
      </c>
      <c r="G620">
        <v>3</v>
      </c>
      <c r="H620">
        <v>95</v>
      </c>
      <c r="I620">
        <v>81</v>
      </c>
      <c r="J620">
        <v>84</v>
      </c>
      <c r="K620">
        <f t="shared" si="9"/>
        <v>88</v>
      </c>
    </row>
    <row r="621" spans="1:11">
      <c r="A621" t="s">
        <v>24</v>
      </c>
      <c r="B621" t="s">
        <v>17</v>
      </c>
      <c r="C621" t="s">
        <v>26</v>
      </c>
      <c r="D621" t="s">
        <v>27</v>
      </c>
      <c r="E621" t="s">
        <v>19</v>
      </c>
      <c r="F621" s="5" t="s">
        <v>619</v>
      </c>
      <c r="G621">
        <v>10</v>
      </c>
      <c r="H621">
        <v>65</v>
      </c>
      <c r="I621">
        <v>73</v>
      </c>
      <c r="J621">
        <v>68</v>
      </c>
      <c r="K621">
        <f t="shared" si="9"/>
        <v>69</v>
      </c>
    </row>
    <row r="622" spans="1:11">
      <c r="A622" t="s">
        <v>11</v>
      </c>
      <c r="B622" t="s">
        <v>17</v>
      </c>
      <c r="C622" t="s">
        <v>39</v>
      </c>
      <c r="D622" t="s">
        <v>27</v>
      </c>
      <c r="E622" t="s">
        <v>15</v>
      </c>
      <c r="F622" s="5" t="s">
        <v>620</v>
      </c>
      <c r="G622">
        <v>2</v>
      </c>
      <c r="H622">
        <v>35</v>
      </c>
      <c r="I622">
        <v>61</v>
      </c>
      <c r="J622">
        <v>54</v>
      </c>
      <c r="K622">
        <f t="shared" si="9"/>
        <v>48</v>
      </c>
    </row>
    <row r="623" spans="1:11">
      <c r="A623" t="s">
        <v>24</v>
      </c>
      <c r="B623" t="s">
        <v>12</v>
      </c>
      <c r="C623" t="s">
        <v>13</v>
      </c>
      <c r="D623" t="s">
        <v>27</v>
      </c>
      <c r="E623" t="s">
        <v>15</v>
      </c>
      <c r="F623" s="5" t="s">
        <v>621</v>
      </c>
      <c r="G623">
        <v>6</v>
      </c>
      <c r="H623">
        <v>62</v>
      </c>
      <c r="I623">
        <v>63</v>
      </c>
      <c r="J623">
        <v>56</v>
      </c>
      <c r="K623">
        <f t="shared" si="9"/>
        <v>62.5</v>
      </c>
    </row>
    <row r="624" spans="1:11">
      <c r="A624" t="s">
        <v>24</v>
      </c>
      <c r="B624" t="s">
        <v>17</v>
      </c>
      <c r="C624" t="s">
        <v>39</v>
      </c>
      <c r="D624" t="s">
        <v>27</v>
      </c>
      <c r="E624" t="s">
        <v>19</v>
      </c>
      <c r="F624" s="5" t="s">
        <v>622</v>
      </c>
      <c r="G624">
        <v>26</v>
      </c>
      <c r="H624">
        <v>58</v>
      </c>
      <c r="I624">
        <v>51</v>
      </c>
      <c r="J624">
        <v>52</v>
      </c>
      <c r="K624">
        <f t="shared" si="9"/>
        <v>54.5</v>
      </c>
    </row>
    <row r="625" spans="1:11">
      <c r="A625" t="s">
        <v>24</v>
      </c>
      <c r="B625" t="s">
        <v>25</v>
      </c>
      <c r="C625" t="s">
        <v>18</v>
      </c>
      <c r="D625" t="s">
        <v>14</v>
      </c>
      <c r="E625" t="s">
        <v>19</v>
      </c>
      <c r="F625" s="5" t="s">
        <v>623</v>
      </c>
      <c r="G625">
        <v>29</v>
      </c>
      <c r="H625">
        <v>100</v>
      </c>
      <c r="I625">
        <v>96</v>
      </c>
      <c r="J625">
        <v>86</v>
      </c>
      <c r="K625">
        <f t="shared" si="9"/>
        <v>98</v>
      </c>
    </row>
    <row r="626" spans="1:11">
      <c r="A626" t="s">
        <v>11</v>
      </c>
      <c r="B626" t="s">
        <v>69</v>
      </c>
      <c r="C626" t="s">
        <v>13</v>
      </c>
      <c r="D626" t="s">
        <v>27</v>
      </c>
      <c r="E626" t="s">
        <v>15</v>
      </c>
      <c r="F626" s="5" t="s">
        <v>624</v>
      </c>
      <c r="G626">
        <v>14</v>
      </c>
      <c r="H626">
        <v>61</v>
      </c>
      <c r="I626">
        <v>58</v>
      </c>
      <c r="J626">
        <v>62</v>
      </c>
      <c r="K626">
        <f t="shared" si="9"/>
        <v>59.5</v>
      </c>
    </row>
    <row r="627" spans="1:11">
      <c r="A627" t="s">
        <v>24</v>
      </c>
      <c r="B627" t="s">
        <v>38</v>
      </c>
      <c r="C627" t="s">
        <v>18</v>
      </c>
      <c r="D627" t="s">
        <v>14</v>
      </c>
      <c r="E627" t="s">
        <v>19</v>
      </c>
      <c r="F627" s="5" t="s">
        <v>625</v>
      </c>
      <c r="G627">
        <v>12</v>
      </c>
      <c r="H627">
        <v>100</v>
      </c>
      <c r="I627">
        <v>97</v>
      </c>
      <c r="J627">
        <v>99</v>
      </c>
      <c r="K627">
        <f t="shared" si="9"/>
        <v>98.5</v>
      </c>
    </row>
    <row r="628" spans="1:11">
      <c r="A628" t="s">
        <v>24</v>
      </c>
      <c r="B628" t="s">
        <v>12</v>
      </c>
      <c r="C628" t="s">
        <v>26</v>
      </c>
      <c r="D628" t="s">
        <v>27</v>
      </c>
      <c r="E628" t="s">
        <v>19</v>
      </c>
      <c r="F628" s="5" t="s">
        <v>626</v>
      </c>
      <c r="G628">
        <v>12</v>
      </c>
      <c r="H628">
        <v>69</v>
      </c>
      <c r="I628">
        <v>70</v>
      </c>
      <c r="J628">
        <v>63</v>
      </c>
      <c r="K628">
        <f t="shared" si="9"/>
        <v>69.5</v>
      </c>
    </row>
    <row r="629" spans="1:11">
      <c r="A629" t="s">
        <v>24</v>
      </c>
      <c r="B629" t="s">
        <v>38</v>
      </c>
      <c r="C629" t="s">
        <v>26</v>
      </c>
      <c r="D629" t="s">
        <v>14</v>
      </c>
      <c r="E629" t="s">
        <v>15</v>
      </c>
      <c r="F629" s="5" t="s">
        <v>627</v>
      </c>
      <c r="G629">
        <v>3</v>
      </c>
      <c r="H629">
        <v>61</v>
      </c>
      <c r="I629">
        <v>48</v>
      </c>
      <c r="J629">
        <v>46</v>
      </c>
      <c r="K629">
        <f t="shared" si="9"/>
        <v>54.5</v>
      </c>
    </row>
    <row r="630" spans="1:11">
      <c r="A630" t="s">
        <v>24</v>
      </c>
      <c r="B630" t="s">
        <v>38</v>
      </c>
      <c r="C630" t="s">
        <v>18</v>
      </c>
      <c r="D630" t="s">
        <v>27</v>
      </c>
      <c r="E630" t="s">
        <v>15</v>
      </c>
      <c r="F630" s="5" t="s">
        <v>628</v>
      </c>
      <c r="G630">
        <v>17</v>
      </c>
      <c r="H630">
        <v>49</v>
      </c>
      <c r="I630">
        <v>57</v>
      </c>
      <c r="J630">
        <v>46</v>
      </c>
      <c r="K630">
        <f t="shared" si="9"/>
        <v>53</v>
      </c>
    </row>
    <row r="631" spans="1:11">
      <c r="A631" t="s">
        <v>11</v>
      </c>
      <c r="B631" t="s">
        <v>17</v>
      </c>
      <c r="C631" t="s">
        <v>50</v>
      </c>
      <c r="D631" t="s">
        <v>14</v>
      </c>
      <c r="E631" t="s">
        <v>19</v>
      </c>
      <c r="F631" s="5" t="s">
        <v>629</v>
      </c>
      <c r="G631">
        <v>20</v>
      </c>
      <c r="H631">
        <v>44</v>
      </c>
      <c r="I631">
        <v>51</v>
      </c>
      <c r="J631">
        <v>55</v>
      </c>
      <c r="K631">
        <f t="shared" si="9"/>
        <v>47.5</v>
      </c>
    </row>
    <row r="632" spans="1:11">
      <c r="A632" t="s">
        <v>24</v>
      </c>
      <c r="B632" t="s">
        <v>38</v>
      </c>
      <c r="C632" t="s">
        <v>18</v>
      </c>
      <c r="D632" t="s">
        <v>14</v>
      </c>
      <c r="E632" t="s">
        <v>15</v>
      </c>
      <c r="F632" s="5" t="s">
        <v>630</v>
      </c>
      <c r="G632">
        <v>17</v>
      </c>
      <c r="H632">
        <v>67</v>
      </c>
      <c r="I632">
        <v>64</v>
      </c>
      <c r="J632">
        <v>70</v>
      </c>
      <c r="K632">
        <f t="shared" si="9"/>
        <v>65.5</v>
      </c>
    </row>
    <row r="633" spans="1:11">
      <c r="A633" t="s">
        <v>24</v>
      </c>
      <c r="B633" t="s">
        <v>12</v>
      </c>
      <c r="C633" t="s">
        <v>39</v>
      </c>
      <c r="D633" t="s">
        <v>14</v>
      </c>
      <c r="E633" t="s">
        <v>15</v>
      </c>
      <c r="F633" s="5" t="s">
        <v>631</v>
      </c>
      <c r="G633">
        <v>16</v>
      </c>
      <c r="H633">
        <v>79</v>
      </c>
      <c r="I633">
        <v>60</v>
      </c>
      <c r="J633">
        <v>65</v>
      </c>
      <c r="K633">
        <f t="shared" si="9"/>
        <v>69.5</v>
      </c>
    </row>
    <row r="634" spans="1:11">
      <c r="A634" t="s">
        <v>11</v>
      </c>
      <c r="B634" t="s">
        <v>12</v>
      </c>
      <c r="C634" t="s">
        <v>13</v>
      </c>
      <c r="D634" t="s">
        <v>14</v>
      </c>
      <c r="E634" t="s">
        <v>19</v>
      </c>
      <c r="F634" s="5" t="s">
        <v>632</v>
      </c>
      <c r="G634">
        <v>12</v>
      </c>
      <c r="H634">
        <v>66</v>
      </c>
      <c r="I634">
        <v>74</v>
      </c>
      <c r="J634">
        <v>81</v>
      </c>
      <c r="K634">
        <f t="shared" si="9"/>
        <v>70</v>
      </c>
    </row>
    <row r="635" spans="1:11">
      <c r="A635" t="s">
        <v>11</v>
      </c>
      <c r="B635" t="s">
        <v>17</v>
      </c>
      <c r="C635" t="s">
        <v>39</v>
      </c>
      <c r="D635" t="s">
        <v>14</v>
      </c>
      <c r="E635" t="s">
        <v>15</v>
      </c>
      <c r="F635" s="5" t="s">
        <v>633</v>
      </c>
      <c r="G635">
        <v>16</v>
      </c>
      <c r="H635">
        <v>75</v>
      </c>
      <c r="I635">
        <v>88</v>
      </c>
      <c r="J635">
        <v>85</v>
      </c>
      <c r="K635">
        <f t="shared" si="9"/>
        <v>81.5</v>
      </c>
    </row>
    <row r="636" spans="1:11">
      <c r="A636" t="s">
        <v>24</v>
      </c>
      <c r="B636" t="s">
        <v>38</v>
      </c>
      <c r="C636" t="s">
        <v>50</v>
      </c>
      <c r="D636" t="s">
        <v>14</v>
      </c>
      <c r="E636" t="s">
        <v>15</v>
      </c>
      <c r="F636" s="5" t="s">
        <v>634</v>
      </c>
      <c r="G636">
        <v>7</v>
      </c>
      <c r="H636">
        <v>84</v>
      </c>
      <c r="I636">
        <v>84</v>
      </c>
      <c r="J636">
        <v>80</v>
      </c>
      <c r="K636">
        <f t="shared" si="9"/>
        <v>84</v>
      </c>
    </row>
    <row r="637" spans="1:11">
      <c r="A637" t="s">
        <v>24</v>
      </c>
      <c r="B637" t="s">
        <v>25</v>
      </c>
      <c r="C637" t="s">
        <v>39</v>
      </c>
      <c r="D637" t="s">
        <v>14</v>
      </c>
      <c r="E637" t="s">
        <v>15</v>
      </c>
      <c r="F637" s="5" t="s">
        <v>635</v>
      </c>
      <c r="G637">
        <v>5</v>
      </c>
      <c r="H637">
        <v>71</v>
      </c>
      <c r="I637">
        <v>74</v>
      </c>
      <c r="J637">
        <v>64</v>
      </c>
      <c r="K637">
        <f t="shared" si="9"/>
        <v>72.5</v>
      </c>
    </row>
    <row r="638" spans="1:11">
      <c r="A638" t="s">
        <v>11</v>
      </c>
      <c r="B638" t="s">
        <v>12</v>
      </c>
      <c r="C638" t="s">
        <v>39</v>
      </c>
      <c r="D638" t="s">
        <v>27</v>
      </c>
      <c r="E638" t="s">
        <v>19</v>
      </c>
      <c r="F638" s="5" t="s">
        <v>636</v>
      </c>
      <c r="G638">
        <v>7</v>
      </c>
      <c r="H638">
        <v>67</v>
      </c>
      <c r="I638">
        <v>80</v>
      </c>
      <c r="J638">
        <v>81</v>
      </c>
      <c r="K638">
        <f t="shared" si="9"/>
        <v>73.5</v>
      </c>
    </row>
    <row r="639" spans="1:11">
      <c r="A639" t="s">
        <v>11</v>
      </c>
      <c r="B639" t="s">
        <v>38</v>
      </c>
      <c r="C639" t="s">
        <v>50</v>
      </c>
      <c r="D639" t="s">
        <v>14</v>
      </c>
      <c r="E639" t="s">
        <v>19</v>
      </c>
      <c r="F639" s="5" t="s">
        <v>637</v>
      </c>
      <c r="G639">
        <v>14</v>
      </c>
      <c r="H639">
        <v>80</v>
      </c>
      <c r="I639">
        <v>92</v>
      </c>
      <c r="J639">
        <v>88</v>
      </c>
      <c r="K639">
        <f t="shared" si="9"/>
        <v>86</v>
      </c>
    </row>
    <row r="640" spans="1:11">
      <c r="A640" t="s">
        <v>24</v>
      </c>
      <c r="B640" t="s">
        <v>69</v>
      </c>
      <c r="C640" t="s">
        <v>18</v>
      </c>
      <c r="D640" t="s">
        <v>14</v>
      </c>
      <c r="E640" t="s">
        <v>15</v>
      </c>
      <c r="F640">
        <v>8.2567879550000001</v>
      </c>
      <c r="G640">
        <v>6</v>
      </c>
      <c r="H640">
        <v>86</v>
      </c>
      <c r="I640">
        <v>76</v>
      </c>
      <c r="J640">
        <v>74</v>
      </c>
      <c r="K640">
        <f t="shared" si="9"/>
        <v>81</v>
      </c>
    </row>
    <row r="641" spans="1:11">
      <c r="A641" t="s">
        <v>11</v>
      </c>
      <c r="B641" t="s">
        <v>38</v>
      </c>
      <c r="C641" t="s">
        <v>26</v>
      </c>
      <c r="D641" t="s">
        <v>14</v>
      </c>
      <c r="E641" t="s">
        <v>15</v>
      </c>
      <c r="F641" s="5" t="s">
        <v>638</v>
      </c>
      <c r="G641">
        <v>15</v>
      </c>
      <c r="H641">
        <v>76</v>
      </c>
      <c r="I641">
        <v>74</v>
      </c>
      <c r="J641">
        <v>73</v>
      </c>
      <c r="K641">
        <f t="shared" si="9"/>
        <v>75</v>
      </c>
    </row>
    <row r="642" spans="1:11">
      <c r="A642" t="s">
        <v>24</v>
      </c>
      <c r="B642" t="s">
        <v>38</v>
      </c>
      <c r="C642" t="s">
        <v>39</v>
      </c>
      <c r="D642" t="s">
        <v>14</v>
      </c>
      <c r="E642" t="s">
        <v>15</v>
      </c>
      <c r="F642" s="5" t="s">
        <v>639</v>
      </c>
      <c r="G642">
        <v>21</v>
      </c>
      <c r="H642">
        <v>41</v>
      </c>
      <c r="I642">
        <v>52</v>
      </c>
      <c r="J642">
        <v>51</v>
      </c>
      <c r="K642">
        <f t="shared" si="9"/>
        <v>46.5</v>
      </c>
    </row>
    <row r="643" spans="1:11">
      <c r="A643" t="s">
        <v>11</v>
      </c>
      <c r="B643" t="s">
        <v>38</v>
      </c>
      <c r="C643" t="s">
        <v>26</v>
      </c>
      <c r="D643" t="s">
        <v>27</v>
      </c>
      <c r="E643" t="s">
        <v>19</v>
      </c>
      <c r="F643" s="5" t="s">
        <v>640</v>
      </c>
      <c r="G643">
        <v>24</v>
      </c>
      <c r="H643">
        <v>74</v>
      </c>
      <c r="I643">
        <v>88</v>
      </c>
      <c r="J643">
        <v>90</v>
      </c>
      <c r="K643">
        <f t="shared" ref="K643:K706" si="10">(H643+I643)/2</f>
        <v>81</v>
      </c>
    </row>
    <row r="644" spans="1:11">
      <c r="A644" t="s">
        <v>11</v>
      </c>
      <c r="B644" t="s">
        <v>12</v>
      </c>
      <c r="C644" t="s">
        <v>50</v>
      </c>
      <c r="D644" t="s">
        <v>27</v>
      </c>
      <c r="E644" t="s">
        <v>15</v>
      </c>
      <c r="F644" s="5" t="s">
        <v>641</v>
      </c>
      <c r="G644">
        <v>11</v>
      </c>
      <c r="H644">
        <v>72</v>
      </c>
      <c r="I644">
        <v>81</v>
      </c>
      <c r="J644">
        <v>79</v>
      </c>
      <c r="K644">
        <f t="shared" si="10"/>
        <v>76.5</v>
      </c>
    </row>
    <row r="645" spans="1:11">
      <c r="A645" t="s">
        <v>11</v>
      </c>
      <c r="B645" t="s">
        <v>69</v>
      </c>
      <c r="C645" t="s">
        <v>39</v>
      </c>
      <c r="D645" t="s">
        <v>14</v>
      </c>
      <c r="E645" t="s">
        <v>19</v>
      </c>
      <c r="F645" s="5" t="s">
        <v>642</v>
      </c>
      <c r="G645">
        <v>10</v>
      </c>
      <c r="H645">
        <v>74</v>
      </c>
      <c r="I645">
        <v>79</v>
      </c>
      <c r="J645">
        <v>80</v>
      </c>
      <c r="K645">
        <f t="shared" si="10"/>
        <v>76.5</v>
      </c>
    </row>
    <row r="646" spans="1:11">
      <c r="A646" t="s">
        <v>24</v>
      </c>
      <c r="B646" t="s">
        <v>12</v>
      </c>
      <c r="C646" t="s">
        <v>39</v>
      </c>
      <c r="D646" t="s">
        <v>14</v>
      </c>
      <c r="E646" t="s">
        <v>15</v>
      </c>
      <c r="F646" s="5" t="s">
        <v>643</v>
      </c>
      <c r="G646">
        <v>25</v>
      </c>
      <c r="H646">
        <v>70</v>
      </c>
      <c r="I646">
        <v>65</v>
      </c>
      <c r="J646">
        <v>60</v>
      </c>
      <c r="K646">
        <f t="shared" si="10"/>
        <v>67.5</v>
      </c>
    </row>
    <row r="647" spans="1:11">
      <c r="A647" t="s">
        <v>11</v>
      </c>
      <c r="B647" t="s">
        <v>12</v>
      </c>
      <c r="C647" t="s">
        <v>13</v>
      </c>
      <c r="D647" t="s">
        <v>14</v>
      </c>
      <c r="E647" t="s">
        <v>19</v>
      </c>
      <c r="F647" s="5" t="s">
        <v>644</v>
      </c>
      <c r="G647">
        <v>5</v>
      </c>
      <c r="H647">
        <v>65</v>
      </c>
      <c r="I647">
        <v>81</v>
      </c>
      <c r="J647">
        <v>81</v>
      </c>
      <c r="K647">
        <f t="shared" si="10"/>
        <v>73</v>
      </c>
    </row>
    <row r="648" spans="1:11">
      <c r="A648" t="s">
        <v>11</v>
      </c>
      <c r="B648" t="s">
        <v>38</v>
      </c>
      <c r="C648" t="s">
        <v>26</v>
      </c>
      <c r="D648" t="s">
        <v>14</v>
      </c>
      <c r="E648" t="s">
        <v>15</v>
      </c>
      <c r="F648" s="5" t="s">
        <v>645</v>
      </c>
      <c r="G648">
        <v>23</v>
      </c>
      <c r="H648">
        <v>59</v>
      </c>
      <c r="I648">
        <v>70</v>
      </c>
      <c r="J648">
        <v>65</v>
      </c>
      <c r="K648">
        <f t="shared" si="10"/>
        <v>64.5</v>
      </c>
    </row>
    <row r="649" spans="1:11">
      <c r="A649" t="s">
        <v>11</v>
      </c>
      <c r="B649" t="s">
        <v>69</v>
      </c>
      <c r="C649" t="s">
        <v>39</v>
      </c>
      <c r="D649" t="s">
        <v>27</v>
      </c>
      <c r="E649" t="s">
        <v>15</v>
      </c>
      <c r="F649" s="5" t="s">
        <v>646</v>
      </c>
      <c r="G649">
        <v>21</v>
      </c>
      <c r="H649">
        <v>64</v>
      </c>
      <c r="I649">
        <v>62</v>
      </c>
      <c r="J649">
        <v>68</v>
      </c>
      <c r="K649">
        <f t="shared" si="10"/>
        <v>63</v>
      </c>
    </row>
    <row r="650" spans="1:11">
      <c r="A650" t="s">
        <v>11</v>
      </c>
      <c r="B650" t="s">
        <v>12</v>
      </c>
      <c r="C650" t="s">
        <v>39</v>
      </c>
      <c r="D650" t="s">
        <v>14</v>
      </c>
      <c r="E650" t="s">
        <v>15</v>
      </c>
      <c r="F650" s="5" t="s">
        <v>647</v>
      </c>
      <c r="G650">
        <v>0</v>
      </c>
      <c r="H650">
        <v>50</v>
      </c>
      <c r="I650">
        <v>53</v>
      </c>
      <c r="J650">
        <v>55</v>
      </c>
      <c r="K650">
        <f t="shared" si="10"/>
        <v>51.5</v>
      </c>
    </row>
    <row r="651" spans="1:11">
      <c r="A651" t="s">
        <v>11</v>
      </c>
      <c r="B651" t="s">
        <v>38</v>
      </c>
      <c r="C651" t="s">
        <v>18</v>
      </c>
      <c r="D651" t="s">
        <v>14</v>
      </c>
      <c r="E651" t="s">
        <v>19</v>
      </c>
      <c r="F651" s="5" t="s">
        <v>648</v>
      </c>
      <c r="G651">
        <v>9</v>
      </c>
      <c r="H651">
        <v>69</v>
      </c>
      <c r="I651">
        <v>79</v>
      </c>
      <c r="J651">
        <v>81</v>
      </c>
      <c r="K651">
        <f t="shared" si="10"/>
        <v>74</v>
      </c>
    </row>
    <row r="652" spans="1:11">
      <c r="A652" t="s">
        <v>24</v>
      </c>
      <c r="B652" t="s">
        <v>17</v>
      </c>
      <c r="C652" t="s">
        <v>50</v>
      </c>
      <c r="D652" t="s">
        <v>27</v>
      </c>
      <c r="E652" t="s">
        <v>19</v>
      </c>
      <c r="F652" s="5" t="s">
        <v>649</v>
      </c>
      <c r="G652">
        <v>27</v>
      </c>
      <c r="H652">
        <v>51</v>
      </c>
      <c r="I652">
        <v>56</v>
      </c>
      <c r="J652">
        <v>53</v>
      </c>
      <c r="K652">
        <f t="shared" si="10"/>
        <v>53.5</v>
      </c>
    </row>
    <row r="653" spans="1:11">
      <c r="A653" t="s">
        <v>11</v>
      </c>
      <c r="B653" t="s">
        <v>25</v>
      </c>
      <c r="C653" t="s">
        <v>39</v>
      </c>
      <c r="D653" t="s">
        <v>14</v>
      </c>
      <c r="E653" t="s">
        <v>19</v>
      </c>
      <c r="F653" s="5" t="s">
        <v>650</v>
      </c>
      <c r="G653">
        <v>14</v>
      </c>
      <c r="H653">
        <v>68</v>
      </c>
      <c r="I653">
        <v>80</v>
      </c>
      <c r="J653">
        <v>76</v>
      </c>
      <c r="K653">
        <f t="shared" si="10"/>
        <v>74</v>
      </c>
    </row>
    <row r="654" spans="1:11">
      <c r="A654" t="s">
        <v>11</v>
      </c>
      <c r="B654" t="s">
        <v>38</v>
      </c>
      <c r="C654" t="s">
        <v>18</v>
      </c>
      <c r="D654" t="s">
        <v>14</v>
      </c>
      <c r="E654" t="s">
        <v>19</v>
      </c>
      <c r="F654" s="5" t="s">
        <v>651</v>
      </c>
      <c r="G654">
        <v>29</v>
      </c>
      <c r="H654">
        <v>85</v>
      </c>
      <c r="I654">
        <v>86</v>
      </c>
      <c r="J654">
        <v>98</v>
      </c>
      <c r="K654">
        <f t="shared" si="10"/>
        <v>85.5</v>
      </c>
    </row>
    <row r="655" spans="1:11">
      <c r="A655" t="s">
        <v>11</v>
      </c>
      <c r="B655" t="s">
        <v>25</v>
      </c>
      <c r="C655" t="s">
        <v>26</v>
      </c>
      <c r="D655" t="s">
        <v>14</v>
      </c>
      <c r="E655" t="s">
        <v>19</v>
      </c>
      <c r="F655" s="5" t="s">
        <v>652</v>
      </c>
      <c r="G655">
        <v>27</v>
      </c>
      <c r="H655">
        <v>65</v>
      </c>
      <c r="I655">
        <v>70</v>
      </c>
      <c r="J655">
        <v>74</v>
      </c>
      <c r="K655">
        <f t="shared" si="10"/>
        <v>67.5</v>
      </c>
    </row>
    <row r="656" spans="1:11">
      <c r="A656" t="s">
        <v>11</v>
      </c>
      <c r="B656" t="s">
        <v>12</v>
      </c>
      <c r="C656" t="s">
        <v>50</v>
      </c>
      <c r="D656" t="s">
        <v>14</v>
      </c>
      <c r="E656" t="s">
        <v>15</v>
      </c>
      <c r="F656" s="5" t="s">
        <v>653</v>
      </c>
      <c r="G656">
        <v>19</v>
      </c>
      <c r="H656">
        <v>73</v>
      </c>
      <c r="I656">
        <v>79</v>
      </c>
      <c r="J656">
        <v>79</v>
      </c>
      <c r="K656">
        <f t="shared" si="10"/>
        <v>76</v>
      </c>
    </row>
    <row r="657" spans="1:11">
      <c r="A657" t="s">
        <v>11</v>
      </c>
      <c r="B657" t="s">
        <v>12</v>
      </c>
      <c r="C657" t="s">
        <v>18</v>
      </c>
      <c r="D657" t="s">
        <v>14</v>
      </c>
      <c r="E657" t="s">
        <v>15</v>
      </c>
      <c r="F657" s="5" t="s">
        <v>654</v>
      </c>
      <c r="G657">
        <v>15</v>
      </c>
      <c r="H657">
        <v>62</v>
      </c>
      <c r="I657">
        <v>67</v>
      </c>
      <c r="J657">
        <v>67</v>
      </c>
      <c r="K657">
        <f t="shared" si="10"/>
        <v>64.5</v>
      </c>
    </row>
    <row r="658" spans="1:11">
      <c r="A658" t="s">
        <v>24</v>
      </c>
      <c r="B658" t="s">
        <v>17</v>
      </c>
      <c r="C658" t="s">
        <v>26</v>
      </c>
      <c r="D658" t="s">
        <v>27</v>
      </c>
      <c r="E658" t="s">
        <v>15</v>
      </c>
      <c r="F658" s="5" t="s">
        <v>655</v>
      </c>
      <c r="G658">
        <v>19</v>
      </c>
      <c r="H658">
        <v>77</v>
      </c>
      <c r="I658">
        <v>67</v>
      </c>
      <c r="J658">
        <v>64</v>
      </c>
      <c r="K658">
        <f t="shared" si="10"/>
        <v>72</v>
      </c>
    </row>
    <row r="659" spans="1:11">
      <c r="A659" t="s">
        <v>24</v>
      </c>
      <c r="B659" t="s">
        <v>38</v>
      </c>
      <c r="C659" t="s">
        <v>50</v>
      </c>
      <c r="D659" t="s">
        <v>14</v>
      </c>
      <c r="E659" t="s">
        <v>15</v>
      </c>
      <c r="F659" s="5" t="s">
        <v>656</v>
      </c>
      <c r="G659">
        <v>23</v>
      </c>
      <c r="H659">
        <v>69</v>
      </c>
      <c r="I659">
        <v>66</v>
      </c>
      <c r="J659">
        <v>61</v>
      </c>
      <c r="K659">
        <f t="shared" si="10"/>
        <v>67.5</v>
      </c>
    </row>
    <row r="660" spans="1:11">
      <c r="A660" t="s">
        <v>11</v>
      </c>
      <c r="B660" t="s">
        <v>38</v>
      </c>
      <c r="C660" t="s">
        <v>26</v>
      </c>
      <c r="D660" t="s">
        <v>27</v>
      </c>
      <c r="E660" t="s">
        <v>15</v>
      </c>
      <c r="F660" s="5" t="s">
        <v>657</v>
      </c>
      <c r="G660">
        <v>24</v>
      </c>
      <c r="H660">
        <v>43</v>
      </c>
      <c r="I660">
        <v>60</v>
      </c>
      <c r="J660">
        <v>58</v>
      </c>
      <c r="K660">
        <f t="shared" si="10"/>
        <v>51.5</v>
      </c>
    </row>
    <row r="661" spans="1:11">
      <c r="A661" t="s">
        <v>24</v>
      </c>
      <c r="B661" t="s">
        <v>38</v>
      </c>
      <c r="C661" t="s">
        <v>26</v>
      </c>
      <c r="D661" t="s">
        <v>14</v>
      </c>
      <c r="E661" t="s">
        <v>15</v>
      </c>
      <c r="F661" s="5" t="s">
        <v>658</v>
      </c>
      <c r="G661">
        <v>16</v>
      </c>
      <c r="H661">
        <v>90</v>
      </c>
      <c r="I661">
        <v>87</v>
      </c>
      <c r="J661">
        <v>85</v>
      </c>
      <c r="K661">
        <f t="shared" si="10"/>
        <v>88.5</v>
      </c>
    </row>
    <row r="662" spans="1:11">
      <c r="A662" t="s">
        <v>24</v>
      </c>
      <c r="B662" t="s">
        <v>17</v>
      </c>
      <c r="C662" t="s">
        <v>18</v>
      </c>
      <c r="D662" t="s">
        <v>27</v>
      </c>
      <c r="E662" t="s">
        <v>15</v>
      </c>
      <c r="F662" s="5" t="s">
        <v>659</v>
      </c>
      <c r="G662">
        <v>28</v>
      </c>
      <c r="H662">
        <v>74</v>
      </c>
      <c r="I662">
        <v>77</v>
      </c>
      <c r="J662">
        <v>73</v>
      </c>
      <c r="K662">
        <f t="shared" si="10"/>
        <v>75.5</v>
      </c>
    </row>
    <row r="663" spans="1:11">
      <c r="A663" t="s">
        <v>24</v>
      </c>
      <c r="B663" t="s">
        <v>17</v>
      </c>
      <c r="C663" t="s">
        <v>50</v>
      </c>
      <c r="D663" t="s">
        <v>14</v>
      </c>
      <c r="E663" t="s">
        <v>15</v>
      </c>
      <c r="F663" s="5" t="s">
        <v>660</v>
      </c>
      <c r="G663">
        <v>21</v>
      </c>
      <c r="H663">
        <v>73</v>
      </c>
      <c r="I663">
        <v>66</v>
      </c>
      <c r="J663">
        <v>63</v>
      </c>
      <c r="K663">
        <f t="shared" si="10"/>
        <v>69.5</v>
      </c>
    </row>
    <row r="664" spans="1:11">
      <c r="A664" t="s">
        <v>11</v>
      </c>
      <c r="B664" t="s">
        <v>38</v>
      </c>
      <c r="C664" t="s">
        <v>18</v>
      </c>
      <c r="D664" t="s">
        <v>27</v>
      </c>
      <c r="E664" t="s">
        <v>15</v>
      </c>
      <c r="F664" s="5" t="s">
        <v>661</v>
      </c>
      <c r="G664">
        <v>12</v>
      </c>
      <c r="H664">
        <v>55</v>
      </c>
      <c r="I664">
        <v>71</v>
      </c>
      <c r="J664">
        <v>69</v>
      </c>
      <c r="K664">
        <f t="shared" si="10"/>
        <v>63</v>
      </c>
    </row>
    <row r="665" spans="1:11">
      <c r="A665" t="s">
        <v>11</v>
      </c>
      <c r="B665" t="s">
        <v>17</v>
      </c>
      <c r="C665" t="s">
        <v>39</v>
      </c>
      <c r="D665" t="s">
        <v>14</v>
      </c>
      <c r="E665" t="s">
        <v>15</v>
      </c>
      <c r="F665" s="5" t="s">
        <v>662</v>
      </c>
      <c r="G665">
        <v>3</v>
      </c>
      <c r="H665">
        <v>65</v>
      </c>
      <c r="I665">
        <v>69</v>
      </c>
      <c r="J665">
        <v>67</v>
      </c>
      <c r="K665">
        <f t="shared" si="10"/>
        <v>67</v>
      </c>
    </row>
    <row r="666" spans="1:11">
      <c r="A666" t="s">
        <v>24</v>
      </c>
      <c r="B666" t="s">
        <v>38</v>
      </c>
      <c r="C666" t="s">
        <v>26</v>
      </c>
      <c r="D666" t="s">
        <v>14</v>
      </c>
      <c r="E666" t="s">
        <v>15</v>
      </c>
      <c r="F666">
        <v>9.5398383080000002</v>
      </c>
      <c r="G666">
        <v>9</v>
      </c>
      <c r="H666">
        <v>80</v>
      </c>
      <c r="I666">
        <v>63</v>
      </c>
      <c r="J666">
        <v>63</v>
      </c>
      <c r="K666">
        <f t="shared" si="10"/>
        <v>71.5</v>
      </c>
    </row>
    <row r="667" spans="1:11">
      <c r="A667" t="s">
        <v>11</v>
      </c>
      <c r="B667" t="s">
        <v>17</v>
      </c>
      <c r="C667" t="s">
        <v>50</v>
      </c>
      <c r="D667" t="s">
        <v>27</v>
      </c>
      <c r="E667" t="s">
        <v>19</v>
      </c>
      <c r="F667" s="5" t="s">
        <v>663</v>
      </c>
      <c r="G667">
        <v>23</v>
      </c>
      <c r="H667">
        <v>50</v>
      </c>
      <c r="I667">
        <v>60</v>
      </c>
      <c r="J667">
        <v>60</v>
      </c>
      <c r="K667">
        <f t="shared" si="10"/>
        <v>55</v>
      </c>
    </row>
    <row r="668" spans="1:11">
      <c r="A668" t="s">
        <v>11</v>
      </c>
      <c r="B668" t="s">
        <v>17</v>
      </c>
      <c r="C668" t="s">
        <v>18</v>
      </c>
      <c r="D668" t="s">
        <v>27</v>
      </c>
      <c r="E668" t="s">
        <v>19</v>
      </c>
      <c r="F668" s="5" t="s">
        <v>664</v>
      </c>
      <c r="G668">
        <v>18</v>
      </c>
      <c r="H668">
        <v>63</v>
      </c>
      <c r="I668">
        <v>73</v>
      </c>
      <c r="J668">
        <v>71</v>
      </c>
      <c r="K668">
        <f t="shared" si="10"/>
        <v>68</v>
      </c>
    </row>
    <row r="669" spans="1:11">
      <c r="A669" t="s">
        <v>11</v>
      </c>
      <c r="B669" t="s">
        <v>12</v>
      </c>
      <c r="C669" t="s">
        <v>13</v>
      </c>
      <c r="D669" t="s">
        <v>27</v>
      </c>
      <c r="E669" t="s">
        <v>15</v>
      </c>
      <c r="F669" s="5" t="s">
        <v>665</v>
      </c>
      <c r="G669">
        <v>14</v>
      </c>
      <c r="H669">
        <v>77</v>
      </c>
      <c r="I669">
        <v>85</v>
      </c>
      <c r="J669">
        <v>87</v>
      </c>
      <c r="K669">
        <f t="shared" si="10"/>
        <v>81</v>
      </c>
    </row>
    <row r="670" spans="1:11">
      <c r="A670" t="s">
        <v>24</v>
      </c>
      <c r="B670" t="s">
        <v>17</v>
      </c>
      <c r="C670" t="s">
        <v>18</v>
      </c>
      <c r="D670" t="s">
        <v>14</v>
      </c>
      <c r="E670" t="s">
        <v>15</v>
      </c>
      <c r="F670" s="5" t="s">
        <v>666</v>
      </c>
      <c r="G670">
        <v>1</v>
      </c>
      <c r="H670">
        <v>73</v>
      </c>
      <c r="I670">
        <v>74</v>
      </c>
      <c r="J670">
        <v>61</v>
      </c>
      <c r="K670">
        <f t="shared" si="10"/>
        <v>73.5</v>
      </c>
    </row>
    <row r="671" spans="1:11">
      <c r="A671" t="s">
        <v>24</v>
      </c>
      <c r="B671" t="s">
        <v>38</v>
      </c>
      <c r="C671" t="s">
        <v>26</v>
      </c>
      <c r="D671" t="s">
        <v>14</v>
      </c>
      <c r="E671" t="s">
        <v>19</v>
      </c>
      <c r="F671" s="5" t="s">
        <v>667</v>
      </c>
      <c r="G671">
        <v>22</v>
      </c>
      <c r="H671">
        <v>81</v>
      </c>
      <c r="I671">
        <v>72</v>
      </c>
      <c r="J671">
        <v>77</v>
      </c>
      <c r="K671">
        <f t="shared" si="10"/>
        <v>76.5</v>
      </c>
    </row>
    <row r="672" spans="1:11">
      <c r="A672" t="s">
        <v>11</v>
      </c>
      <c r="B672" t="s">
        <v>17</v>
      </c>
      <c r="C672" t="s">
        <v>39</v>
      </c>
      <c r="D672" t="s">
        <v>27</v>
      </c>
      <c r="E672" t="s">
        <v>15</v>
      </c>
      <c r="F672" s="5" t="s">
        <v>668</v>
      </c>
      <c r="G672">
        <v>22</v>
      </c>
      <c r="H672">
        <v>66</v>
      </c>
      <c r="I672">
        <v>76</v>
      </c>
      <c r="J672">
        <v>68</v>
      </c>
      <c r="K672">
        <f t="shared" si="10"/>
        <v>71</v>
      </c>
    </row>
    <row r="673" spans="1:11">
      <c r="A673" t="s">
        <v>24</v>
      </c>
      <c r="B673" t="s">
        <v>38</v>
      </c>
      <c r="C673" t="s">
        <v>26</v>
      </c>
      <c r="D673" t="s">
        <v>27</v>
      </c>
      <c r="E673" t="s">
        <v>15</v>
      </c>
      <c r="F673">
        <v>0.94122395800000003</v>
      </c>
      <c r="G673">
        <v>1</v>
      </c>
      <c r="H673">
        <v>52</v>
      </c>
      <c r="I673">
        <v>57</v>
      </c>
      <c r="J673">
        <v>50</v>
      </c>
      <c r="K673">
        <f t="shared" si="10"/>
        <v>54.5</v>
      </c>
    </row>
    <row r="674" spans="1:11">
      <c r="A674" t="s">
        <v>11</v>
      </c>
      <c r="B674" t="s">
        <v>17</v>
      </c>
      <c r="C674" t="s">
        <v>18</v>
      </c>
      <c r="D674" t="s">
        <v>14</v>
      </c>
      <c r="E674" t="s">
        <v>15</v>
      </c>
      <c r="F674" s="5" t="s">
        <v>669</v>
      </c>
      <c r="G674">
        <v>26</v>
      </c>
      <c r="H674">
        <v>69</v>
      </c>
      <c r="I674">
        <v>78</v>
      </c>
      <c r="J674">
        <v>76</v>
      </c>
      <c r="K674">
        <f t="shared" si="10"/>
        <v>73.5</v>
      </c>
    </row>
    <row r="675" spans="1:11">
      <c r="A675" t="s">
        <v>11</v>
      </c>
      <c r="B675" t="s">
        <v>17</v>
      </c>
      <c r="C675" t="s">
        <v>26</v>
      </c>
      <c r="D675" t="s">
        <v>14</v>
      </c>
      <c r="E675" t="s">
        <v>19</v>
      </c>
      <c r="F675" s="5" t="s">
        <v>670</v>
      </c>
      <c r="G675">
        <v>2</v>
      </c>
      <c r="H675">
        <v>65</v>
      </c>
      <c r="I675">
        <v>84</v>
      </c>
      <c r="J675">
        <v>84</v>
      </c>
      <c r="K675">
        <f t="shared" si="10"/>
        <v>74.5</v>
      </c>
    </row>
    <row r="676" spans="1:11">
      <c r="A676" t="s">
        <v>11</v>
      </c>
      <c r="B676" t="s">
        <v>38</v>
      </c>
      <c r="C676" t="s">
        <v>39</v>
      </c>
      <c r="D676" t="s">
        <v>14</v>
      </c>
      <c r="E676" t="s">
        <v>19</v>
      </c>
      <c r="F676" s="5" t="s">
        <v>671</v>
      </c>
      <c r="G676">
        <v>12</v>
      </c>
      <c r="H676">
        <v>69</v>
      </c>
      <c r="I676">
        <v>77</v>
      </c>
      <c r="J676">
        <v>78</v>
      </c>
      <c r="K676">
        <f t="shared" si="10"/>
        <v>73</v>
      </c>
    </row>
    <row r="677" spans="1:11">
      <c r="A677" t="s">
        <v>11</v>
      </c>
      <c r="B677" t="s">
        <v>12</v>
      </c>
      <c r="C677" t="s">
        <v>18</v>
      </c>
      <c r="D677" t="s">
        <v>14</v>
      </c>
      <c r="E677" t="s">
        <v>19</v>
      </c>
      <c r="F677" s="5" t="s">
        <v>672</v>
      </c>
      <c r="G677">
        <v>5</v>
      </c>
      <c r="H677">
        <v>50</v>
      </c>
      <c r="I677">
        <v>64</v>
      </c>
      <c r="J677">
        <v>66</v>
      </c>
      <c r="K677">
        <f t="shared" si="10"/>
        <v>57</v>
      </c>
    </row>
    <row r="678" spans="1:11">
      <c r="A678" t="s">
        <v>11</v>
      </c>
      <c r="B678" t="s">
        <v>69</v>
      </c>
      <c r="C678" t="s">
        <v>18</v>
      </c>
      <c r="D678" t="s">
        <v>14</v>
      </c>
      <c r="E678" t="s">
        <v>19</v>
      </c>
      <c r="F678" s="5" t="s">
        <v>673</v>
      </c>
      <c r="G678">
        <v>15</v>
      </c>
      <c r="H678">
        <v>73</v>
      </c>
      <c r="I678">
        <v>78</v>
      </c>
      <c r="J678">
        <v>76</v>
      </c>
      <c r="K678">
        <f t="shared" si="10"/>
        <v>75.5</v>
      </c>
    </row>
    <row r="679" spans="1:11">
      <c r="A679" t="s">
        <v>11</v>
      </c>
      <c r="B679" t="s">
        <v>17</v>
      </c>
      <c r="C679" t="s">
        <v>50</v>
      </c>
      <c r="D679" t="s">
        <v>14</v>
      </c>
      <c r="E679" t="s">
        <v>19</v>
      </c>
      <c r="F679" s="5" t="s">
        <v>674</v>
      </c>
      <c r="G679">
        <v>21</v>
      </c>
      <c r="H679">
        <v>70</v>
      </c>
      <c r="I679">
        <v>82</v>
      </c>
      <c r="J679">
        <v>76</v>
      </c>
      <c r="K679">
        <f t="shared" si="10"/>
        <v>76</v>
      </c>
    </row>
    <row r="680" spans="1:11">
      <c r="A680" t="s">
        <v>24</v>
      </c>
      <c r="B680" t="s">
        <v>38</v>
      </c>
      <c r="C680" t="s">
        <v>26</v>
      </c>
      <c r="D680" t="s">
        <v>27</v>
      </c>
      <c r="E680" t="s">
        <v>15</v>
      </c>
      <c r="F680" s="5" t="s">
        <v>675</v>
      </c>
      <c r="G680">
        <v>11</v>
      </c>
      <c r="H680">
        <v>81</v>
      </c>
      <c r="I680">
        <v>75</v>
      </c>
      <c r="J680">
        <v>78</v>
      </c>
      <c r="K680">
        <f t="shared" si="10"/>
        <v>78</v>
      </c>
    </row>
    <row r="681" spans="1:11">
      <c r="A681" t="s">
        <v>24</v>
      </c>
      <c r="B681" t="s">
        <v>38</v>
      </c>
      <c r="C681" t="s">
        <v>18</v>
      </c>
      <c r="D681" t="s">
        <v>27</v>
      </c>
      <c r="E681" t="s">
        <v>15</v>
      </c>
      <c r="F681">
        <v>7.2664895109999996</v>
      </c>
      <c r="G681">
        <v>4</v>
      </c>
      <c r="H681">
        <v>63</v>
      </c>
      <c r="I681">
        <v>61</v>
      </c>
      <c r="J681">
        <v>60</v>
      </c>
      <c r="K681">
        <f t="shared" si="10"/>
        <v>62</v>
      </c>
    </row>
    <row r="682" spans="1:11">
      <c r="A682" t="s">
        <v>11</v>
      </c>
      <c r="B682" t="s">
        <v>38</v>
      </c>
      <c r="C682" t="s">
        <v>39</v>
      </c>
      <c r="D682" t="s">
        <v>14</v>
      </c>
      <c r="E682" t="s">
        <v>15</v>
      </c>
      <c r="F682" s="5" t="s">
        <v>676</v>
      </c>
      <c r="G682">
        <v>28</v>
      </c>
      <c r="H682">
        <v>67</v>
      </c>
      <c r="I682">
        <v>72</v>
      </c>
      <c r="J682">
        <v>74</v>
      </c>
      <c r="K682">
        <f t="shared" si="10"/>
        <v>69.5</v>
      </c>
    </row>
    <row r="683" spans="1:11">
      <c r="A683" t="s">
        <v>24</v>
      </c>
      <c r="B683" t="s">
        <v>12</v>
      </c>
      <c r="C683" t="s">
        <v>39</v>
      </c>
      <c r="D683" t="s">
        <v>14</v>
      </c>
      <c r="E683" t="s">
        <v>15</v>
      </c>
      <c r="F683" s="5" t="s">
        <v>677</v>
      </c>
      <c r="G683">
        <v>18</v>
      </c>
      <c r="H683">
        <v>60</v>
      </c>
      <c r="I683">
        <v>68</v>
      </c>
      <c r="J683">
        <v>60</v>
      </c>
      <c r="K683">
        <f t="shared" si="10"/>
        <v>64</v>
      </c>
    </row>
    <row r="684" spans="1:11">
      <c r="A684" t="s">
        <v>24</v>
      </c>
      <c r="B684" t="s">
        <v>12</v>
      </c>
      <c r="C684" t="s">
        <v>39</v>
      </c>
      <c r="D684" t="s">
        <v>14</v>
      </c>
      <c r="E684" t="s">
        <v>15</v>
      </c>
      <c r="F684" s="5" t="s">
        <v>678</v>
      </c>
      <c r="G684">
        <v>2</v>
      </c>
      <c r="H684">
        <v>62</v>
      </c>
      <c r="I684">
        <v>55</v>
      </c>
      <c r="J684">
        <v>54</v>
      </c>
      <c r="K684">
        <f t="shared" si="10"/>
        <v>58.5</v>
      </c>
    </row>
    <row r="685" spans="1:11">
      <c r="A685" t="s">
        <v>11</v>
      </c>
      <c r="B685" t="s">
        <v>17</v>
      </c>
      <c r="C685" t="s">
        <v>50</v>
      </c>
      <c r="D685" t="s">
        <v>27</v>
      </c>
      <c r="E685" t="s">
        <v>19</v>
      </c>
      <c r="F685">
        <v>5.4192641569999997</v>
      </c>
      <c r="G685">
        <v>6</v>
      </c>
      <c r="H685">
        <v>29</v>
      </c>
      <c r="I685">
        <v>40</v>
      </c>
      <c r="J685">
        <v>44</v>
      </c>
      <c r="K685">
        <f t="shared" si="10"/>
        <v>34.5</v>
      </c>
    </row>
    <row r="686" spans="1:11">
      <c r="A686" t="s">
        <v>24</v>
      </c>
      <c r="B686" t="s">
        <v>12</v>
      </c>
      <c r="C686" t="s">
        <v>18</v>
      </c>
      <c r="D686" t="s">
        <v>14</v>
      </c>
      <c r="E686" t="s">
        <v>19</v>
      </c>
      <c r="F686" s="5" t="s">
        <v>679</v>
      </c>
      <c r="G686">
        <v>16</v>
      </c>
      <c r="H686">
        <v>62</v>
      </c>
      <c r="I686">
        <v>66</v>
      </c>
      <c r="J686">
        <v>68</v>
      </c>
      <c r="K686">
        <f t="shared" si="10"/>
        <v>64</v>
      </c>
    </row>
    <row r="687" spans="1:11">
      <c r="A687" t="s">
        <v>11</v>
      </c>
      <c r="B687" t="s">
        <v>69</v>
      </c>
      <c r="C687" t="s">
        <v>22</v>
      </c>
      <c r="D687" t="s">
        <v>14</v>
      </c>
      <c r="E687" t="s">
        <v>19</v>
      </c>
      <c r="F687" s="5" t="s">
        <v>680</v>
      </c>
      <c r="G687">
        <v>23</v>
      </c>
      <c r="H687">
        <v>94</v>
      </c>
      <c r="I687">
        <v>99</v>
      </c>
      <c r="J687">
        <v>100</v>
      </c>
      <c r="K687">
        <f t="shared" si="10"/>
        <v>96.5</v>
      </c>
    </row>
    <row r="688" spans="1:11">
      <c r="A688" t="s">
        <v>24</v>
      </c>
      <c r="B688" t="s">
        <v>69</v>
      </c>
      <c r="C688" t="s">
        <v>18</v>
      </c>
      <c r="D688" t="s">
        <v>14</v>
      </c>
      <c r="E688" t="s">
        <v>19</v>
      </c>
      <c r="F688" s="5" t="s">
        <v>681</v>
      </c>
      <c r="G688">
        <v>12</v>
      </c>
      <c r="H688">
        <v>85</v>
      </c>
      <c r="I688">
        <v>75</v>
      </c>
      <c r="J688">
        <v>68</v>
      </c>
      <c r="K688">
        <f t="shared" si="10"/>
        <v>80</v>
      </c>
    </row>
    <row r="689" spans="1:11">
      <c r="A689" t="s">
        <v>24</v>
      </c>
      <c r="B689" t="s">
        <v>38</v>
      </c>
      <c r="C689" t="s">
        <v>26</v>
      </c>
      <c r="D689" t="s">
        <v>27</v>
      </c>
      <c r="E689" t="s">
        <v>15</v>
      </c>
      <c r="F689" s="5" t="s">
        <v>682</v>
      </c>
      <c r="G689">
        <v>4</v>
      </c>
      <c r="H689">
        <v>77</v>
      </c>
      <c r="I689">
        <v>78</v>
      </c>
      <c r="J689">
        <v>73</v>
      </c>
      <c r="K689">
        <f t="shared" si="10"/>
        <v>77.5</v>
      </c>
    </row>
    <row r="690" spans="1:11">
      <c r="A690" t="s">
        <v>24</v>
      </c>
      <c r="B690" t="s">
        <v>25</v>
      </c>
      <c r="C690" t="s">
        <v>39</v>
      </c>
      <c r="D690" t="s">
        <v>27</v>
      </c>
      <c r="E690" t="s">
        <v>15</v>
      </c>
      <c r="F690" s="5" t="s">
        <v>683</v>
      </c>
      <c r="G690">
        <v>25</v>
      </c>
      <c r="H690">
        <v>53</v>
      </c>
      <c r="I690">
        <v>58</v>
      </c>
      <c r="J690">
        <v>44</v>
      </c>
      <c r="K690">
        <f t="shared" si="10"/>
        <v>55.5</v>
      </c>
    </row>
    <row r="691" spans="1:11">
      <c r="A691" t="s">
        <v>24</v>
      </c>
      <c r="B691" t="s">
        <v>69</v>
      </c>
      <c r="C691" t="s">
        <v>18</v>
      </c>
      <c r="D691" t="s">
        <v>27</v>
      </c>
      <c r="E691" t="s">
        <v>15</v>
      </c>
      <c r="F691" s="5" t="s">
        <v>684</v>
      </c>
      <c r="G691">
        <v>2</v>
      </c>
      <c r="H691">
        <v>93</v>
      </c>
      <c r="I691">
        <v>90</v>
      </c>
      <c r="J691">
        <v>83</v>
      </c>
      <c r="K691">
        <f t="shared" si="10"/>
        <v>91.5</v>
      </c>
    </row>
    <row r="692" spans="1:11">
      <c r="A692" t="s">
        <v>11</v>
      </c>
      <c r="B692" t="s">
        <v>17</v>
      </c>
      <c r="C692" t="s">
        <v>26</v>
      </c>
      <c r="D692" t="s">
        <v>14</v>
      </c>
      <c r="E692" t="s">
        <v>15</v>
      </c>
      <c r="F692" s="5" t="s">
        <v>685</v>
      </c>
      <c r="G692">
        <v>29</v>
      </c>
      <c r="H692">
        <v>49</v>
      </c>
      <c r="I692">
        <v>53</v>
      </c>
      <c r="J692">
        <v>53</v>
      </c>
      <c r="K692">
        <f t="shared" si="10"/>
        <v>51</v>
      </c>
    </row>
    <row r="693" spans="1:11">
      <c r="A693" t="s">
        <v>11</v>
      </c>
      <c r="B693" t="s">
        <v>69</v>
      </c>
      <c r="C693" t="s">
        <v>26</v>
      </c>
      <c r="D693" t="s">
        <v>27</v>
      </c>
      <c r="E693" t="s">
        <v>15</v>
      </c>
      <c r="F693" s="5" t="s">
        <v>686</v>
      </c>
      <c r="G693">
        <v>6</v>
      </c>
      <c r="H693">
        <v>73</v>
      </c>
      <c r="I693">
        <v>76</v>
      </c>
      <c r="J693">
        <v>78</v>
      </c>
      <c r="K693">
        <f t="shared" si="10"/>
        <v>74.5</v>
      </c>
    </row>
    <row r="694" spans="1:11">
      <c r="A694" t="s">
        <v>11</v>
      </c>
      <c r="B694" t="s">
        <v>17</v>
      </c>
      <c r="C694" t="s">
        <v>13</v>
      </c>
      <c r="D694" t="s">
        <v>27</v>
      </c>
      <c r="E694" t="s">
        <v>19</v>
      </c>
      <c r="F694" s="5" t="s">
        <v>687</v>
      </c>
      <c r="G694">
        <v>13</v>
      </c>
      <c r="H694">
        <v>66</v>
      </c>
      <c r="I694">
        <v>74</v>
      </c>
      <c r="J694">
        <v>81</v>
      </c>
      <c r="K694">
        <f t="shared" si="10"/>
        <v>70</v>
      </c>
    </row>
    <row r="695" spans="1:11">
      <c r="A695" t="s">
        <v>11</v>
      </c>
      <c r="B695" t="s">
        <v>38</v>
      </c>
      <c r="C695" t="s">
        <v>26</v>
      </c>
      <c r="D695" t="s">
        <v>14</v>
      </c>
      <c r="E695" t="s">
        <v>15</v>
      </c>
      <c r="F695" s="5" t="s">
        <v>688</v>
      </c>
      <c r="G695">
        <v>17</v>
      </c>
      <c r="H695">
        <v>77</v>
      </c>
      <c r="I695">
        <v>77</v>
      </c>
      <c r="J695">
        <v>73</v>
      </c>
      <c r="K695">
        <f t="shared" si="10"/>
        <v>77</v>
      </c>
    </row>
    <row r="696" spans="1:11">
      <c r="A696" t="s">
        <v>11</v>
      </c>
      <c r="B696" t="s">
        <v>17</v>
      </c>
      <c r="C696" t="s">
        <v>50</v>
      </c>
      <c r="D696" t="s">
        <v>14</v>
      </c>
      <c r="E696" t="s">
        <v>15</v>
      </c>
      <c r="F696" s="5" t="s">
        <v>689</v>
      </c>
      <c r="G696">
        <v>2</v>
      </c>
      <c r="H696">
        <v>49</v>
      </c>
      <c r="I696">
        <v>63</v>
      </c>
      <c r="J696">
        <v>56</v>
      </c>
      <c r="K696">
        <f t="shared" si="10"/>
        <v>56</v>
      </c>
    </row>
    <row r="697" spans="1:11">
      <c r="A697" t="s">
        <v>11</v>
      </c>
      <c r="B697" t="s">
        <v>38</v>
      </c>
      <c r="C697" t="s">
        <v>18</v>
      </c>
      <c r="D697" t="s">
        <v>27</v>
      </c>
      <c r="E697" t="s">
        <v>15</v>
      </c>
      <c r="F697" s="5" t="s">
        <v>690</v>
      </c>
      <c r="G697">
        <v>27</v>
      </c>
      <c r="H697">
        <v>79</v>
      </c>
      <c r="I697">
        <v>89</v>
      </c>
      <c r="J697">
        <v>86</v>
      </c>
      <c r="K697">
        <f t="shared" si="10"/>
        <v>84</v>
      </c>
    </row>
    <row r="698" spans="1:11">
      <c r="A698" t="s">
        <v>11</v>
      </c>
      <c r="B698" t="s">
        <v>17</v>
      </c>
      <c r="C698" t="s">
        <v>26</v>
      </c>
      <c r="D698" t="s">
        <v>14</v>
      </c>
      <c r="E698" t="s">
        <v>19</v>
      </c>
      <c r="F698" s="5" t="s">
        <v>691</v>
      </c>
      <c r="G698">
        <v>3</v>
      </c>
      <c r="H698">
        <v>75</v>
      </c>
      <c r="I698">
        <v>82</v>
      </c>
      <c r="J698">
        <v>90</v>
      </c>
      <c r="K698">
        <f t="shared" si="10"/>
        <v>78.5</v>
      </c>
    </row>
    <row r="699" spans="1:11">
      <c r="A699" t="s">
        <v>11</v>
      </c>
      <c r="B699" t="s">
        <v>25</v>
      </c>
      <c r="C699" t="s">
        <v>13</v>
      </c>
      <c r="D699" t="s">
        <v>14</v>
      </c>
      <c r="E699" t="s">
        <v>15</v>
      </c>
      <c r="F699" s="5" t="s">
        <v>692</v>
      </c>
      <c r="G699">
        <v>22</v>
      </c>
      <c r="H699">
        <v>59</v>
      </c>
      <c r="I699">
        <v>72</v>
      </c>
      <c r="J699">
        <v>70</v>
      </c>
      <c r="K699">
        <f t="shared" si="10"/>
        <v>65.5</v>
      </c>
    </row>
    <row r="700" spans="1:11">
      <c r="A700" t="s">
        <v>11</v>
      </c>
      <c r="B700" t="s">
        <v>38</v>
      </c>
      <c r="C700" t="s">
        <v>26</v>
      </c>
      <c r="D700" t="s">
        <v>14</v>
      </c>
      <c r="E700" t="s">
        <v>19</v>
      </c>
      <c r="F700">
        <v>17.102188439999999</v>
      </c>
      <c r="G700">
        <v>7</v>
      </c>
      <c r="H700">
        <v>57</v>
      </c>
      <c r="I700">
        <v>78</v>
      </c>
      <c r="J700">
        <v>79</v>
      </c>
      <c r="K700">
        <f t="shared" si="10"/>
        <v>67.5</v>
      </c>
    </row>
    <row r="701" spans="1:11">
      <c r="A701" t="s">
        <v>24</v>
      </c>
      <c r="B701" t="s">
        <v>17</v>
      </c>
      <c r="C701" t="s">
        <v>39</v>
      </c>
      <c r="D701" t="s">
        <v>27</v>
      </c>
      <c r="E701" t="s">
        <v>15</v>
      </c>
      <c r="F701">
        <v>11.838288090000001</v>
      </c>
      <c r="G701">
        <v>16</v>
      </c>
      <c r="H701">
        <v>66</v>
      </c>
      <c r="I701">
        <v>66</v>
      </c>
      <c r="J701">
        <v>59</v>
      </c>
      <c r="K701">
        <f t="shared" si="10"/>
        <v>66</v>
      </c>
    </row>
    <row r="702" spans="1:11">
      <c r="A702" t="s">
        <v>11</v>
      </c>
      <c r="B702" t="s">
        <v>69</v>
      </c>
      <c r="C702" t="s">
        <v>13</v>
      </c>
      <c r="D702" t="s">
        <v>14</v>
      </c>
      <c r="E702" t="s">
        <v>19</v>
      </c>
      <c r="F702" s="5" t="s">
        <v>693</v>
      </c>
      <c r="G702">
        <v>11</v>
      </c>
      <c r="H702">
        <v>79</v>
      </c>
      <c r="I702">
        <v>81</v>
      </c>
      <c r="J702">
        <v>82</v>
      </c>
      <c r="K702">
        <f t="shared" si="10"/>
        <v>80</v>
      </c>
    </row>
    <row r="703" spans="1:11">
      <c r="A703" t="s">
        <v>11</v>
      </c>
      <c r="B703" t="s">
        <v>12</v>
      </c>
      <c r="C703" t="s">
        <v>50</v>
      </c>
      <c r="D703" t="s">
        <v>14</v>
      </c>
      <c r="E703" t="s">
        <v>15</v>
      </c>
      <c r="F703" s="5" t="s">
        <v>694</v>
      </c>
      <c r="G703">
        <v>25</v>
      </c>
      <c r="H703">
        <v>57</v>
      </c>
      <c r="I703">
        <v>67</v>
      </c>
      <c r="J703">
        <v>72</v>
      </c>
      <c r="K703">
        <f t="shared" si="10"/>
        <v>62</v>
      </c>
    </row>
    <row r="704" spans="1:11">
      <c r="A704" t="s">
        <v>24</v>
      </c>
      <c r="B704" t="s">
        <v>25</v>
      </c>
      <c r="C704" t="s">
        <v>13</v>
      </c>
      <c r="D704" t="s">
        <v>14</v>
      </c>
      <c r="E704" t="s">
        <v>19</v>
      </c>
      <c r="F704" s="5" t="s">
        <v>695</v>
      </c>
      <c r="G704">
        <v>20</v>
      </c>
      <c r="H704">
        <v>87</v>
      </c>
      <c r="I704">
        <v>84</v>
      </c>
      <c r="J704">
        <v>87</v>
      </c>
      <c r="K704">
        <f t="shared" si="10"/>
        <v>85.5</v>
      </c>
    </row>
    <row r="705" spans="1:11">
      <c r="A705" t="s">
        <v>11</v>
      </c>
      <c r="B705" t="s">
        <v>38</v>
      </c>
      <c r="C705" t="s">
        <v>18</v>
      </c>
      <c r="D705" t="s">
        <v>14</v>
      </c>
      <c r="E705" t="s">
        <v>15</v>
      </c>
      <c r="F705" s="5" t="s">
        <v>696</v>
      </c>
      <c r="G705">
        <v>7</v>
      </c>
      <c r="H705">
        <v>63</v>
      </c>
      <c r="I705">
        <v>64</v>
      </c>
      <c r="J705">
        <v>67</v>
      </c>
      <c r="K705">
        <f t="shared" si="10"/>
        <v>63.5</v>
      </c>
    </row>
    <row r="706" spans="1:11">
      <c r="A706" t="s">
        <v>11</v>
      </c>
      <c r="B706" t="s">
        <v>12</v>
      </c>
      <c r="C706" t="s">
        <v>50</v>
      </c>
      <c r="D706" t="s">
        <v>27</v>
      </c>
      <c r="E706" t="s">
        <v>19</v>
      </c>
      <c r="F706">
        <v>9.6471241719999998</v>
      </c>
      <c r="G706">
        <v>1</v>
      </c>
      <c r="H706">
        <v>59</v>
      </c>
      <c r="I706">
        <v>63</v>
      </c>
      <c r="J706">
        <v>64</v>
      </c>
      <c r="K706">
        <f t="shared" si="10"/>
        <v>61</v>
      </c>
    </row>
    <row r="707" spans="1:11">
      <c r="A707" t="s">
        <v>24</v>
      </c>
      <c r="B707" t="s">
        <v>25</v>
      </c>
      <c r="C707" t="s">
        <v>13</v>
      </c>
      <c r="D707" t="s">
        <v>27</v>
      </c>
      <c r="E707" t="s">
        <v>15</v>
      </c>
      <c r="F707" s="5" t="s">
        <v>697</v>
      </c>
      <c r="G707">
        <v>22</v>
      </c>
      <c r="H707">
        <v>62</v>
      </c>
      <c r="I707">
        <v>72</v>
      </c>
      <c r="J707">
        <v>65</v>
      </c>
      <c r="K707">
        <f t="shared" ref="K707:K770" si="11">(H707+I707)/2</f>
        <v>67</v>
      </c>
    </row>
    <row r="708" spans="1:11">
      <c r="A708" t="s">
        <v>24</v>
      </c>
      <c r="B708" t="s">
        <v>38</v>
      </c>
      <c r="C708" t="s">
        <v>39</v>
      </c>
      <c r="D708" t="s">
        <v>14</v>
      </c>
      <c r="E708" t="s">
        <v>15</v>
      </c>
      <c r="F708" s="5" t="s">
        <v>698</v>
      </c>
      <c r="G708">
        <v>29</v>
      </c>
      <c r="H708">
        <v>46</v>
      </c>
      <c r="I708">
        <v>34</v>
      </c>
      <c r="J708">
        <v>36</v>
      </c>
      <c r="K708">
        <f t="shared" si="11"/>
        <v>40</v>
      </c>
    </row>
    <row r="709" spans="1:11">
      <c r="A709" t="s">
        <v>24</v>
      </c>
      <c r="B709" t="s">
        <v>17</v>
      </c>
      <c r="C709" t="s">
        <v>18</v>
      </c>
      <c r="D709" t="s">
        <v>14</v>
      </c>
      <c r="E709" t="s">
        <v>15</v>
      </c>
      <c r="F709" s="5" t="s">
        <v>699</v>
      </c>
      <c r="G709">
        <v>3</v>
      </c>
      <c r="H709">
        <v>66</v>
      </c>
      <c r="I709">
        <v>59</v>
      </c>
      <c r="J709">
        <v>52</v>
      </c>
      <c r="K709">
        <f t="shared" si="11"/>
        <v>62.5</v>
      </c>
    </row>
    <row r="710" spans="1:11">
      <c r="A710" t="s">
        <v>24</v>
      </c>
      <c r="B710" t="s">
        <v>38</v>
      </c>
      <c r="C710" t="s">
        <v>39</v>
      </c>
      <c r="D710" t="s">
        <v>14</v>
      </c>
      <c r="E710" t="s">
        <v>15</v>
      </c>
      <c r="F710" s="5" t="s">
        <v>700</v>
      </c>
      <c r="G710">
        <v>26</v>
      </c>
      <c r="H710">
        <v>89</v>
      </c>
      <c r="I710">
        <v>87</v>
      </c>
      <c r="J710">
        <v>79</v>
      </c>
      <c r="K710">
        <f t="shared" si="11"/>
        <v>88</v>
      </c>
    </row>
    <row r="711" spans="1:11">
      <c r="A711" t="s">
        <v>11</v>
      </c>
      <c r="B711" t="s">
        <v>38</v>
      </c>
      <c r="C711" t="s">
        <v>26</v>
      </c>
      <c r="D711" t="s">
        <v>27</v>
      </c>
      <c r="E711" t="s">
        <v>19</v>
      </c>
      <c r="F711" s="5" t="s">
        <v>701</v>
      </c>
      <c r="G711">
        <v>3</v>
      </c>
      <c r="H711">
        <v>42</v>
      </c>
      <c r="I711">
        <v>61</v>
      </c>
      <c r="J711">
        <v>58</v>
      </c>
      <c r="K711">
        <f t="shared" si="11"/>
        <v>51.5</v>
      </c>
    </row>
    <row r="712" spans="1:11">
      <c r="A712" t="s">
        <v>24</v>
      </c>
      <c r="B712" t="s">
        <v>17</v>
      </c>
      <c r="C712" t="s">
        <v>18</v>
      </c>
      <c r="D712" t="s">
        <v>14</v>
      </c>
      <c r="E712" t="s">
        <v>19</v>
      </c>
      <c r="F712" s="5" t="s">
        <v>702</v>
      </c>
      <c r="G712">
        <v>27</v>
      </c>
      <c r="H712">
        <v>93</v>
      </c>
      <c r="I712">
        <v>84</v>
      </c>
      <c r="J712">
        <v>90</v>
      </c>
      <c r="K712">
        <f t="shared" si="11"/>
        <v>88.5</v>
      </c>
    </row>
    <row r="713" spans="1:11">
      <c r="A713" t="s">
        <v>11</v>
      </c>
      <c r="B713" t="s">
        <v>69</v>
      </c>
      <c r="C713" t="s">
        <v>50</v>
      </c>
      <c r="D713" t="s">
        <v>14</v>
      </c>
      <c r="E713" t="s">
        <v>19</v>
      </c>
      <c r="F713" s="5" t="s">
        <v>703</v>
      </c>
      <c r="G713">
        <v>14</v>
      </c>
      <c r="H713">
        <v>80</v>
      </c>
      <c r="I713">
        <v>85</v>
      </c>
      <c r="J713">
        <v>85</v>
      </c>
      <c r="K713">
        <f t="shared" si="11"/>
        <v>82.5</v>
      </c>
    </row>
    <row r="714" spans="1:11">
      <c r="A714" t="s">
        <v>11</v>
      </c>
      <c r="B714" t="s">
        <v>38</v>
      </c>
      <c r="C714" t="s">
        <v>18</v>
      </c>
      <c r="D714" t="s">
        <v>14</v>
      </c>
      <c r="E714" t="s">
        <v>15</v>
      </c>
      <c r="F714" s="5" t="s">
        <v>704</v>
      </c>
      <c r="G714">
        <v>16</v>
      </c>
      <c r="H714">
        <v>98</v>
      </c>
      <c r="I714">
        <v>100</v>
      </c>
      <c r="J714">
        <v>99</v>
      </c>
      <c r="K714">
        <f t="shared" si="11"/>
        <v>99</v>
      </c>
    </row>
    <row r="715" spans="1:11">
      <c r="A715" t="s">
        <v>24</v>
      </c>
      <c r="B715" t="s">
        <v>38</v>
      </c>
      <c r="C715" t="s">
        <v>22</v>
      </c>
      <c r="D715" t="s">
        <v>14</v>
      </c>
      <c r="E715" t="s">
        <v>15</v>
      </c>
      <c r="F715">
        <v>8.6361020160000006</v>
      </c>
      <c r="G715">
        <v>6</v>
      </c>
      <c r="H715">
        <v>81</v>
      </c>
      <c r="I715">
        <v>81</v>
      </c>
      <c r="J715">
        <v>84</v>
      </c>
      <c r="K715">
        <f t="shared" si="11"/>
        <v>81</v>
      </c>
    </row>
    <row r="716" spans="1:11">
      <c r="A716" t="s">
        <v>11</v>
      </c>
      <c r="B716" t="s">
        <v>12</v>
      </c>
      <c r="C716" t="s">
        <v>50</v>
      </c>
      <c r="D716" t="s">
        <v>14</v>
      </c>
      <c r="E716" t="s">
        <v>19</v>
      </c>
      <c r="F716" s="5" t="s">
        <v>705</v>
      </c>
      <c r="G716">
        <v>8</v>
      </c>
      <c r="H716">
        <v>60</v>
      </c>
      <c r="I716">
        <v>70</v>
      </c>
      <c r="J716">
        <v>74</v>
      </c>
      <c r="K716">
        <f t="shared" si="11"/>
        <v>65</v>
      </c>
    </row>
    <row r="717" spans="1:11">
      <c r="A717" t="s">
        <v>11</v>
      </c>
      <c r="B717" t="s">
        <v>12</v>
      </c>
      <c r="C717" t="s">
        <v>26</v>
      </c>
      <c r="D717" t="s">
        <v>27</v>
      </c>
      <c r="E717" t="s">
        <v>19</v>
      </c>
      <c r="F717" s="5" t="s">
        <v>706</v>
      </c>
      <c r="G717">
        <v>3</v>
      </c>
      <c r="H717">
        <v>76</v>
      </c>
      <c r="I717">
        <v>94</v>
      </c>
      <c r="J717">
        <v>87</v>
      </c>
      <c r="K717">
        <f t="shared" si="11"/>
        <v>85</v>
      </c>
    </row>
    <row r="718" spans="1:11">
      <c r="A718" t="s">
        <v>24</v>
      </c>
      <c r="B718" t="s">
        <v>17</v>
      </c>
      <c r="C718" t="s">
        <v>26</v>
      </c>
      <c r="D718" t="s">
        <v>14</v>
      </c>
      <c r="E718" t="s">
        <v>19</v>
      </c>
      <c r="F718" s="5" t="s">
        <v>707</v>
      </c>
      <c r="G718">
        <v>13</v>
      </c>
      <c r="H718">
        <v>73</v>
      </c>
      <c r="I718">
        <v>78</v>
      </c>
      <c r="J718">
        <v>72</v>
      </c>
      <c r="K718">
        <f t="shared" si="11"/>
        <v>75.5</v>
      </c>
    </row>
    <row r="719" spans="1:11">
      <c r="A719" t="s">
        <v>11</v>
      </c>
      <c r="B719" t="s">
        <v>17</v>
      </c>
      <c r="C719" t="s">
        <v>26</v>
      </c>
      <c r="D719" t="s">
        <v>14</v>
      </c>
      <c r="E719" t="s">
        <v>19</v>
      </c>
      <c r="F719" s="5" t="s">
        <v>708</v>
      </c>
      <c r="G719">
        <v>8</v>
      </c>
      <c r="H719">
        <v>96</v>
      </c>
      <c r="I719">
        <v>96</v>
      </c>
      <c r="J719">
        <v>99</v>
      </c>
      <c r="K719">
        <f t="shared" si="11"/>
        <v>96</v>
      </c>
    </row>
    <row r="720" spans="1:11">
      <c r="A720" t="s">
        <v>11</v>
      </c>
      <c r="B720" t="s">
        <v>17</v>
      </c>
      <c r="C720" t="s">
        <v>39</v>
      </c>
      <c r="D720" t="s">
        <v>14</v>
      </c>
      <c r="E720" t="s">
        <v>15</v>
      </c>
      <c r="F720" s="5" t="s">
        <v>709</v>
      </c>
      <c r="G720">
        <v>27</v>
      </c>
      <c r="H720">
        <v>76</v>
      </c>
      <c r="I720">
        <v>76</v>
      </c>
      <c r="J720">
        <v>74</v>
      </c>
      <c r="K720">
        <f t="shared" si="11"/>
        <v>76</v>
      </c>
    </row>
    <row r="721" spans="1:11">
      <c r="A721" t="s">
        <v>24</v>
      </c>
      <c r="B721" t="s">
        <v>69</v>
      </c>
      <c r="C721" t="s">
        <v>26</v>
      </c>
      <c r="D721" t="s">
        <v>27</v>
      </c>
      <c r="E721" t="s">
        <v>19</v>
      </c>
      <c r="F721" s="5" t="s">
        <v>710</v>
      </c>
      <c r="G721">
        <v>10</v>
      </c>
      <c r="H721">
        <v>91</v>
      </c>
      <c r="I721">
        <v>73</v>
      </c>
      <c r="J721">
        <v>80</v>
      </c>
      <c r="K721">
        <f t="shared" si="11"/>
        <v>82</v>
      </c>
    </row>
    <row r="722" spans="1:11">
      <c r="A722" t="s">
        <v>11</v>
      </c>
      <c r="B722" t="s">
        <v>17</v>
      </c>
      <c r="C722" t="s">
        <v>18</v>
      </c>
      <c r="D722" t="s">
        <v>27</v>
      </c>
      <c r="E722" t="s">
        <v>15</v>
      </c>
      <c r="F722" s="5" t="s">
        <v>711</v>
      </c>
      <c r="G722">
        <v>21</v>
      </c>
      <c r="H722">
        <v>62</v>
      </c>
      <c r="I722">
        <v>72</v>
      </c>
      <c r="J722">
        <v>70</v>
      </c>
      <c r="K722">
        <f t="shared" si="11"/>
        <v>67</v>
      </c>
    </row>
    <row r="723" spans="1:11">
      <c r="A723" t="s">
        <v>24</v>
      </c>
      <c r="B723" t="s">
        <v>38</v>
      </c>
      <c r="C723" t="s">
        <v>50</v>
      </c>
      <c r="D723" t="s">
        <v>27</v>
      </c>
      <c r="E723" t="s">
        <v>19</v>
      </c>
      <c r="F723" s="5" t="s">
        <v>712</v>
      </c>
      <c r="G723">
        <v>22</v>
      </c>
      <c r="H723">
        <v>55</v>
      </c>
      <c r="I723">
        <v>59</v>
      </c>
      <c r="J723">
        <v>59</v>
      </c>
      <c r="K723">
        <f t="shared" si="11"/>
        <v>57</v>
      </c>
    </row>
    <row r="724" spans="1:11">
      <c r="A724" t="s">
        <v>11</v>
      </c>
      <c r="B724" t="s">
        <v>12</v>
      </c>
      <c r="C724" t="s">
        <v>50</v>
      </c>
      <c r="D724" t="s">
        <v>27</v>
      </c>
      <c r="E724" t="s">
        <v>19</v>
      </c>
      <c r="F724" s="5" t="s">
        <v>713</v>
      </c>
      <c r="G724">
        <v>4</v>
      </c>
      <c r="H724">
        <v>74</v>
      </c>
      <c r="I724">
        <v>90</v>
      </c>
      <c r="J724">
        <v>88</v>
      </c>
      <c r="K724">
        <f t="shared" si="11"/>
        <v>82</v>
      </c>
    </row>
    <row r="725" spans="1:11">
      <c r="A725" t="s">
        <v>24</v>
      </c>
      <c r="B725" t="s">
        <v>17</v>
      </c>
      <c r="C725" t="s">
        <v>39</v>
      </c>
      <c r="D725" t="s">
        <v>14</v>
      </c>
      <c r="E725" t="s">
        <v>15</v>
      </c>
      <c r="F725" s="5" t="s">
        <v>714</v>
      </c>
      <c r="G725">
        <v>0</v>
      </c>
      <c r="H725">
        <v>50</v>
      </c>
      <c r="I725">
        <v>48</v>
      </c>
      <c r="J725">
        <v>42</v>
      </c>
      <c r="K725">
        <f t="shared" si="11"/>
        <v>49</v>
      </c>
    </row>
    <row r="726" spans="1:11">
      <c r="A726" t="s">
        <v>24</v>
      </c>
      <c r="B726" t="s">
        <v>12</v>
      </c>
      <c r="C726" t="s">
        <v>18</v>
      </c>
      <c r="D726" t="s">
        <v>14</v>
      </c>
      <c r="E726" t="s">
        <v>15</v>
      </c>
      <c r="F726" s="5" t="s">
        <v>715</v>
      </c>
      <c r="G726">
        <v>23</v>
      </c>
      <c r="H726">
        <v>47</v>
      </c>
      <c r="I726">
        <v>43</v>
      </c>
      <c r="J726">
        <v>41</v>
      </c>
      <c r="K726">
        <f t="shared" si="11"/>
        <v>45</v>
      </c>
    </row>
    <row r="727" spans="1:11">
      <c r="A727" t="s">
        <v>24</v>
      </c>
      <c r="B727" t="s">
        <v>69</v>
      </c>
      <c r="C727" t="s">
        <v>18</v>
      </c>
      <c r="D727" t="s">
        <v>14</v>
      </c>
      <c r="E727" t="s">
        <v>19</v>
      </c>
      <c r="F727" s="5" t="s">
        <v>716</v>
      </c>
      <c r="G727">
        <v>22</v>
      </c>
      <c r="H727">
        <v>81</v>
      </c>
      <c r="I727">
        <v>74</v>
      </c>
      <c r="J727">
        <v>71</v>
      </c>
      <c r="K727">
        <f t="shared" si="11"/>
        <v>77.5</v>
      </c>
    </row>
    <row r="728" spans="1:11">
      <c r="A728" t="s">
        <v>11</v>
      </c>
      <c r="B728" t="s">
        <v>69</v>
      </c>
      <c r="C728" t="s">
        <v>26</v>
      </c>
      <c r="D728" t="s">
        <v>14</v>
      </c>
      <c r="E728" t="s">
        <v>19</v>
      </c>
      <c r="F728" s="5" t="s">
        <v>717</v>
      </c>
      <c r="G728">
        <v>9</v>
      </c>
      <c r="H728">
        <v>65</v>
      </c>
      <c r="I728">
        <v>75</v>
      </c>
      <c r="J728">
        <v>77</v>
      </c>
      <c r="K728">
        <f t="shared" si="11"/>
        <v>70</v>
      </c>
    </row>
    <row r="729" spans="1:11">
      <c r="A729" t="s">
        <v>24</v>
      </c>
      <c r="B729" t="s">
        <v>69</v>
      </c>
      <c r="C729" t="s">
        <v>50</v>
      </c>
      <c r="D729" t="s">
        <v>14</v>
      </c>
      <c r="E729" t="s">
        <v>19</v>
      </c>
      <c r="F729" s="5" t="s">
        <v>718</v>
      </c>
      <c r="G729">
        <v>6</v>
      </c>
      <c r="H729">
        <v>68</v>
      </c>
      <c r="I729">
        <v>51</v>
      </c>
      <c r="J729">
        <v>57</v>
      </c>
      <c r="K729">
        <f t="shared" si="11"/>
        <v>59.5</v>
      </c>
    </row>
    <row r="730" spans="1:11">
      <c r="A730" t="s">
        <v>11</v>
      </c>
      <c r="B730" t="s">
        <v>38</v>
      </c>
      <c r="C730" t="s">
        <v>39</v>
      </c>
      <c r="D730" t="s">
        <v>27</v>
      </c>
      <c r="E730" t="s">
        <v>15</v>
      </c>
      <c r="F730" s="5" t="s">
        <v>719</v>
      </c>
      <c r="G730">
        <v>13</v>
      </c>
      <c r="H730">
        <v>73</v>
      </c>
      <c r="I730">
        <v>92</v>
      </c>
      <c r="J730">
        <v>84</v>
      </c>
      <c r="K730">
        <f t="shared" si="11"/>
        <v>82.5</v>
      </c>
    </row>
    <row r="731" spans="1:11">
      <c r="A731" t="s">
        <v>24</v>
      </c>
      <c r="B731" t="s">
        <v>17</v>
      </c>
      <c r="C731" t="s">
        <v>18</v>
      </c>
      <c r="D731" t="s">
        <v>14</v>
      </c>
      <c r="E731" t="s">
        <v>15</v>
      </c>
      <c r="F731" s="5" t="s">
        <v>720</v>
      </c>
      <c r="G731">
        <v>16</v>
      </c>
      <c r="H731">
        <v>53</v>
      </c>
      <c r="I731">
        <v>39</v>
      </c>
      <c r="J731">
        <v>37</v>
      </c>
      <c r="K731">
        <f t="shared" si="11"/>
        <v>46</v>
      </c>
    </row>
    <row r="732" spans="1:11">
      <c r="A732" t="s">
        <v>11</v>
      </c>
      <c r="B732" t="s">
        <v>12</v>
      </c>
      <c r="C732" t="s">
        <v>26</v>
      </c>
      <c r="D732" t="s">
        <v>27</v>
      </c>
      <c r="E732" t="s">
        <v>19</v>
      </c>
      <c r="F732" s="5" t="s">
        <v>721</v>
      </c>
      <c r="G732">
        <v>12</v>
      </c>
      <c r="H732">
        <v>68</v>
      </c>
      <c r="I732">
        <v>77</v>
      </c>
      <c r="J732">
        <v>80</v>
      </c>
      <c r="K732">
        <f t="shared" si="11"/>
        <v>72.5</v>
      </c>
    </row>
    <row r="733" spans="1:11">
      <c r="A733" t="s">
        <v>24</v>
      </c>
      <c r="B733" t="s">
        <v>25</v>
      </c>
      <c r="C733" t="s">
        <v>50</v>
      </c>
      <c r="D733" t="s">
        <v>27</v>
      </c>
      <c r="E733" t="s">
        <v>15</v>
      </c>
      <c r="F733" s="5" t="s">
        <v>722</v>
      </c>
      <c r="G733">
        <v>1</v>
      </c>
      <c r="H733">
        <v>55</v>
      </c>
      <c r="I733">
        <v>46</v>
      </c>
      <c r="J733">
        <v>43</v>
      </c>
      <c r="K733">
        <f t="shared" si="11"/>
        <v>50.5</v>
      </c>
    </row>
    <row r="734" spans="1:11">
      <c r="A734" t="s">
        <v>11</v>
      </c>
      <c r="B734" t="s">
        <v>17</v>
      </c>
      <c r="C734" t="s">
        <v>18</v>
      </c>
      <c r="D734" t="s">
        <v>14</v>
      </c>
      <c r="E734" t="s">
        <v>19</v>
      </c>
      <c r="F734">
        <v>9.0107307809999995</v>
      </c>
      <c r="G734">
        <v>23</v>
      </c>
      <c r="H734">
        <v>87</v>
      </c>
      <c r="I734">
        <v>89</v>
      </c>
      <c r="J734">
        <v>94</v>
      </c>
      <c r="K734">
        <f t="shared" si="11"/>
        <v>88</v>
      </c>
    </row>
    <row r="735" spans="1:11">
      <c r="A735" t="s">
        <v>24</v>
      </c>
      <c r="B735" t="s">
        <v>38</v>
      </c>
      <c r="C735" t="s">
        <v>50</v>
      </c>
      <c r="D735" t="s">
        <v>14</v>
      </c>
      <c r="E735" t="s">
        <v>15</v>
      </c>
      <c r="F735" s="5" t="s">
        <v>723</v>
      </c>
      <c r="G735">
        <v>3</v>
      </c>
      <c r="H735">
        <v>55</v>
      </c>
      <c r="I735">
        <v>47</v>
      </c>
      <c r="J735">
        <v>44</v>
      </c>
      <c r="K735">
        <f t="shared" si="11"/>
        <v>51</v>
      </c>
    </row>
    <row r="736" spans="1:11">
      <c r="A736" t="s">
        <v>11</v>
      </c>
      <c r="B736" t="s">
        <v>69</v>
      </c>
      <c r="C736" t="s">
        <v>18</v>
      </c>
      <c r="D736" t="s">
        <v>27</v>
      </c>
      <c r="E736" t="s">
        <v>15</v>
      </c>
      <c r="F736" s="5" t="s">
        <v>724</v>
      </c>
      <c r="G736">
        <v>20</v>
      </c>
      <c r="H736">
        <v>53</v>
      </c>
      <c r="I736">
        <v>58</v>
      </c>
      <c r="J736">
        <v>57</v>
      </c>
      <c r="K736">
        <f t="shared" si="11"/>
        <v>55.5</v>
      </c>
    </row>
    <row r="737" spans="1:11">
      <c r="A737" t="s">
        <v>24</v>
      </c>
      <c r="B737" t="s">
        <v>17</v>
      </c>
      <c r="C737" t="s">
        <v>22</v>
      </c>
      <c r="D737" t="s">
        <v>14</v>
      </c>
      <c r="E737" t="s">
        <v>15</v>
      </c>
      <c r="F737" s="5" t="s">
        <v>725</v>
      </c>
      <c r="G737">
        <v>23</v>
      </c>
      <c r="H737">
        <v>67</v>
      </c>
      <c r="I737">
        <v>57</v>
      </c>
      <c r="J737">
        <v>59</v>
      </c>
      <c r="K737">
        <f t="shared" si="11"/>
        <v>62</v>
      </c>
    </row>
    <row r="738" spans="1:11">
      <c r="A738" t="s">
        <v>24</v>
      </c>
      <c r="B738" t="s">
        <v>17</v>
      </c>
      <c r="C738" t="s">
        <v>26</v>
      </c>
      <c r="D738" t="s">
        <v>14</v>
      </c>
      <c r="E738" t="s">
        <v>15</v>
      </c>
      <c r="F738" s="5" t="s">
        <v>726</v>
      </c>
      <c r="G738">
        <v>29</v>
      </c>
      <c r="H738">
        <v>92</v>
      </c>
      <c r="I738">
        <v>79</v>
      </c>
      <c r="J738">
        <v>84</v>
      </c>
      <c r="K738">
        <f t="shared" si="11"/>
        <v>85.5</v>
      </c>
    </row>
    <row r="739" spans="1:11">
      <c r="A739" t="s">
        <v>11</v>
      </c>
      <c r="B739" t="s">
        <v>12</v>
      </c>
      <c r="C739" t="s">
        <v>18</v>
      </c>
      <c r="D739" t="s">
        <v>27</v>
      </c>
      <c r="E739" t="s">
        <v>19</v>
      </c>
      <c r="F739" s="5" t="s">
        <v>727</v>
      </c>
      <c r="G739">
        <v>2</v>
      </c>
      <c r="H739">
        <v>53</v>
      </c>
      <c r="I739">
        <v>66</v>
      </c>
      <c r="J739">
        <v>73</v>
      </c>
      <c r="K739">
        <f t="shared" si="11"/>
        <v>59.5</v>
      </c>
    </row>
    <row r="740" spans="1:11">
      <c r="A740" t="s">
        <v>24</v>
      </c>
      <c r="B740" t="s">
        <v>38</v>
      </c>
      <c r="C740" t="s">
        <v>26</v>
      </c>
      <c r="D740" t="s">
        <v>14</v>
      </c>
      <c r="E740" t="s">
        <v>15</v>
      </c>
      <c r="F740" s="5" t="s">
        <v>728</v>
      </c>
      <c r="G740">
        <v>20</v>
      </c>
      <c r="H740">
        <v>81</v>
      </c>
      <c r="I740">
        <v>71</v>
      </c>
      <c r="J740">
        <v>73</v>
      </c>
      <c r="K740">
        <f t="shared" si="11"/>
        <v>76</v>
      </c>
    </row>
    <row r="741" spans="1:11">
      <c r="A741" t="s">
        <v>24</v>
      </c>
      <c r="B741" t="s">
        <v>17</v>
      </c>
      <c r="C741" t="s">
        <v>39</v>
      </c>
      <c r="D741" t="s">
        <v>27</v>
      </c>
      <c r="E741" t="s">
        <v>15</v>
      </c>
      <c r="F741" s="5" t="s">
        <v>729</v>
      </c>
      <c r="G741">
        <v>27</v>
      </c>
      <c r="H741">
        <v>61</v>
      </c>
      <c r="I741">
        <v>60</v>
      </c>
      <c r="J741">
        <v>55</v>
      </c>
      <c r="K741">
        <f t="shared" si="11"/>
        <v>60.5</v>
      </c>
    </row>
    <row r="742" spans="1:11">
      <c r="A742" t="s">
        <v>24</v>
      </c>
      <c r="B742" t="s">
        <v>38</v>
      </c>
      <c r="C742" t="s">
        <v>13</v>
      </c>
      <c r="D742" t="s">
        <v>14</v>
      </c>
      <c r="E742" t="s">
        <v>15</v>
      </c>
      <c r="F742" s="5" t="s">
        <v>730</v>
      </c>
      <c r="G742">
        <v>16</v>
      </c>
      <c r="H742">
        <v>80</v>
      </c>
      <c r="I742">
        <v>73</v>
      </c>
      <c r="J742">
        <v>72</v>
      </c>
      <c r="K742">
        <f t="shared" si="11"/>
        <v>76.5</v>
      </c>
    </row>
    <row r="743" spans="1:11">
      <c r="A743" t="s">
        <v>11</v>
      </c>
      <c r="B743" t="s">
        <v>25</v>
      </c>
      <c r="C743" t="s">
        <v>26</v>
      </c>
      <c r="D743" t="s">
        <v>27</v>
      </c>
      <c r="E743" t="s">
        <v>15</v>
      </c>
      <c r="F743" s="5" t="s">
        <v>731</v>
      </c>
      <c r="G743">
        <v>14</v>
      </c>
      <c r="H743">
        <v>37</v>
      </c>
      <c r="I743">
        <v>57</v>
      </c>
      <c r="J743">
        <v>56</v>
      </c>
      <c r="K743">
        <f t="shared" si="11"/>
        <v>47</v>
      </c>
    </row>
    <row r="744" spans="1:11">
      <c r="A744" t="s">
        <v>11</v>
      </c>
      <c r="B744" t="s">
        <v>17</v>
      </c>
      <c r="C744" t="s">
        <v>39</v>
      </c>
      <c r="D744" t="s">
        <v>14</v>
      </c>
      <c r="E744" t="s">
        <v>15</v>
      </c>
      <c r="F744" s="5" t="s">
        <v>732</v>
      </c>
      <c r="G744">
        <v>12</v>
      </c>
      <c r="H744">
        <v>81</v>
      </c>
      <c r="I744">
        <v>84</v>
      </c>
      <c r="J744">
        <v>82</v>
      </c>
      <c r="K744">
        <f t="shared" si="11"/>
        <v>82.5</v>
      </c>
    </row>
    <row r="745" spans="1:11">
      <c r="A745" t="s">
        <v>11</v>
      </c>
      <c r="B745" t="s">
        <v>17</v>
      </c>
      <c r="C745" t="s">
        <v>26</v>
      </c>
      <c r="D745" t="s">
        <v>14</v>
      </c>
      <c r="E745" t="s">
        <v>19</v>
      </c>
      <c r="F745" s="5" t="s">
        <v>733</v>
      </c>
      <c r="G745">
        <v>23</v>
      </c>
      <c r="H745">
        <v>59</v>
      </c>
      <c r="I745">
        <v>73</v>
      </c>
      <c r="J745">
        <v>72</v>
      </c>
      <c r="K745">
        <f t="shared" si="11"/>
        <v>66</v>
      </c>
    </row>
    <row r="746" spans="1:11">
      <c r="A746" t="s">
        <v>24</v>
      </c>
      <c r="B746" t="s">
        <v>12</v>
      </c>
      <c r="C746" t="s">
        <v>18</v>
      </c>
      <c r="D746" t="s">
        <v>27</v>
      </c>
      <c r="E746" t="s">
        <v>15</v>
      </c>
      <c r="F746" s="5" t="s">
        <v>734</v>
      </c>
      <c r="G746">
        <v>20</v>
      </c>
      <c r="H746">
        <v>55</v>
      </c>
      <c r="I746">
        <v>55</v>
      </c>
      <c r="J746">
        <v>47</v>
      </c>
      <c r="K746">
        <f t="shared" si="11"/>
        <v>55</v>
      </c>
    </row>
    <row r="747" spans="1:11">
      <c r="A747" t="s">
        <v>24</v>
      </c>
      <c r="B747" t="s">
        <v>38</v>
      </c>
      <c r="C747" t="s">
        <v>26</v>
      </c>
      <c r="D747" t="s">
        <v>14</v>
      </c>
      <c r="E747" t="s">
        <v>15</v>
      </c>
      <c r="F747" s="5" t="s">
        <v>735</v>
      </c>
      <c r="G747">
        <v>18</v>
      </c>
      <c r="H747">
        <v>72</v>
      </c>
      <c r="I747">
        <v>79</v>
      </c>
      <c r="J747">
        <v>74</v>
      </c>
      <c r="K747">
        <f t="shared" si="11"/>
        <v>75.5</v>
      </c>
    </row>
    <row r="748" spans="1:11">
      <c r="A748" t="s">
        <v>24</v>
      </c>
      <c r="B748" t="s">
        <v>38</v>
      </c>
      <c r="C748" t="s">
        <v>39</v>
      </c>
      <c r="D748" t="s">
        <v>14</v>
      </c>
      <c r="E748" t="s">
        <v>15</v>
      </c>
      <c r="F748" s="5" t="s">
        <v>736</v>
      </c>
      <c r="G748">
        <v>3</v>
      </c>
      <c r="H748">
        <v>69</v>
      </c>
      <c r="I748">
        <v>75</v>
      </c>
      <c r="J748">
        <v>71</v>
      </c>
      <c r="K748">
        <f t="shared" si="11"/>
        <v>72</v>
      </c>
    </row>
    <row r="749" spans="1:11">
      <c r="A749" t="s">
        <v>24</v>
      </c>
      <c r="B749" t="s">
        <v>17</v>
      </c>
      <c r="C749" t="s">
        <v>18</v>
      </c>
      <c r="D749" t="s">
        <v>14</v>
      </c>
      <c r="E749" t="s">
        <v>15</v>
      </c>
      <c r="F749" s="5" t="s">
        <v>737</v>
      </c>
      <c r="G749">
        <v>18</v>
      </c>
      <c r="H749">
        <v>69</v>
      </c>
      <c r="I749">
        <v>64</v>
      </c>
      <c r="J749">
        <v>68</v>
      </c>
      <c r="K749">
        <f t="shared" si="11"/>
        <v>66.5</v>
      </c>
    </row>
    <row r="750" spans="1:11">
      <c r="A750" t="s">
        <v>11</v>
      </c>
      <c r="B750" t="s">
        <v>17</v>
      </c>
      <c r="C750" t="s">
        <v>13</v>
      </c>
      <c r="D750" t="s">
        <v>27</v>
      </c>
      <c r="E750" t="s">
        <v>15</v>
      </c>
      <c r="F750" s="5" t="s">
        <v>738</v>
      </c>
      <c r="G750">
        <v>10</v>
      </c>
      <c r="H750">
        <v>50</v>
      </c>
      <c r="I750">
        <v>60</v>
      </c>
      <c r="J750">
        <v>59</v>
      </c>
      <c r="K750">
        <f t="shared" si="11"/>
        <v>55</v>
      </c>
    </row>
    <row r="751" spans="1:11">
      <c r="A751" t="s">
        <v>24</v>
      </c>
      <c r="B751" t="s">
        <v>12</v>
      </c>
      <c r="C751" t="s">
        <v>18</v>
      </c>
      <c r="D751" t="s">
        <v>14</v>
      </c>
      <c r="E751" t="s">
        <v>19</v>
      </c>
      <c r="F751" s="5" t="s">
        <v>739</v>
      </c>
      <c r="G751">
        <v>18</v>
      </c>
      <c r="H751">
        <v>87</v>
      </c>
      <c r="I751">
        <v>84</v>
      </c>
      <c r="J751">
        <v>86</v>
      </c>
      <c r="K751">
        <f t="shared" si="11"/>
        <v>85.5</v>
      </c>
    </row>
    <row r="752" spans="1:11">
      <c r="A752" t="s">
        <v>24</v>
      </c>
      <c r="B752" t="s">
        <v>38</v>
      </c>
      <c r="C752" t="s">
        <v>50</v>
      </c>
      <c r="D752" t="s">
        <v>14</v>
      </c>
      <c r="E752" t="s">
        <v>19</v>
      </c>
      <c r="F752" s="5" t="s">
        <v>740</v>
      </c>
      <c r="G752">
        <v>15</v>
      </c>
      <c r="H752">
        <v>71</v>
      </c>
      <c r="I752">
        <v>69</v>
      </c>
      <c r="J752">
        <v>68</v>
      </c>
      <c r="K752">
        <f t="shared" si="11"/>
        <v>70</v>
      </c>
    </row>
    <row r="753" spans="1:11">
      <c r="A753" t="s">
        <v>24</v>
      </c>
      <c r="B753" t="s">
        <v>69</v>
      </c>
      <c r="C753" t="s">
        <v>18</v>
      </c>
      <c r="D753" t="s">
        <v>14</v>
      </c>
      <c r="E753" t="s">
        <v>15</v>
      </c>
      <c r="F753" s="5" t="s">
        <v>741</v>
      </c>
      <c r="G753">
        <v>21</v>
      </c>
      <c r="H753">
        <v>68</v>
      </c>
      <c r="I753">
        <v>72</v>
      </c>
      <c r="J753">
        <v>65</v>
      </c>
      <c r="K753">
        <f t="shared" si="11"/>
        <v>70</v>
      </c>
    </row>
    <row r="754" spans="1:11">
      <c r="A754" t="s">
        <v>24</v>
      </c>
      <c r="B754" t="s">
        <v>17</v>
      </c>
      <c r="C754" t="s">
        <v>22</v>
      </c>
      <c r="D754" t="s">
        <v>27</v>
      </c>
      <c r="E754" t="s">
        <v>19</v>
      </c>
      <c r="F754">
        <v>17.79374825</v>
      </c>
      <c r="G754">
        <v>24</v>
      </c>
      <c r="H754">
        <v>79</v>
      </c>
      <c r="I754">
        <v>77</v>
      </c>
      <c r="J754">
        <v>75</v>
      </c>
      <c r="K754">
        <f t="shared" si="11"/>
        <v>78</v>
      </c>
    </row>
    <row r="755" spans="1:11">
      <c r="A755" t="s">
        <v>11</v>
      </c>
      <c r="B755" t="s">
        <v>17</v>
      </c>
      <c r="C755" t="s">
        <v>50</v>
      </c>
      <c r="D755" t="s">
        <v>14</v>
      </c>
      <c r="E755" t="s">
        <v>19</v>
      </c>
      <c r="F755">
        <v>2.4714498119999999</v>
      </c>
      <c r="G755">
        <v>23</v>
      </c>
      <c r="H755">
        <v>77</v>
      </c>
      <c r="I755">
        <v>90</v>
      </c>
      <c r="J755">
        <v>85</v>
      </c>
      <c r="K755">
        <f t="shared" si="11"/>
        <v>83.5</v>
      </c>
    </row>
    <row r="756" spans="1:11">
      <c r="A756" t="s">
        <v>24</v>
      </c>
      <c r="B756" t="s">
        <v>17</v>
      </c>
      <c r="C756" t="s">
        <v>26</v>
      </c>
      <c r="D756" t="s">
        <v>27</v>
      </c>
      <c r="E756" t="s">
        <v>15</v>
      </c>
      <c r="F756" s="5" t="s">
        <v>742</v>
      </c>
      <c r="G756">
        <v>25</v>
      </c>
      <c r="H756">
        <v>58</v>
      </c>
      <c r="I756">
        <v>55</v>
      </c>
      <c r="J756">
        <v>53</v>
      </c>
      <c r="K756">
        <f t="shared" si="11"/>
        <v>56.5</v>
      </c>
    </row>
    <row r="757" spans="1:11">
      <c r="A757" t="s">
        <v>11</v>
      </c>
      <c r="B757" t="s">
        <v>69</v>
      </c>
      <c r="C757" t="s">
        <v>26</v>
      </c>
      <c r="D757" t="s">
        <v>14</v>
      </c>
      <c r="E757" t="s">
        <v>15</v>
      </c>
      <c r="F757" s="5" t="s">
        <v>743</v>
      </c>
      <c r="G757">
        <v>3</v>
      </c>
      <c r="H757">
        <v>84</v>
      </c>
      <c r="I757">
        <v>95</v>
      </c>
      <c r="J757">
        <v>92</v>
      </c>
      <c r="K757">
        <f t="shared" si="11"/>
        <v>89.5</v>
      </c>
    </row>
    <row r="758" spans="1:11">
      <c r="A758" t="s">
        <v>24</v>
      </c>
      <c r="B758" t="s">
        <v>38</v>
      </c>
      <c r="C758" t="s">
        <v>18</v>
      </c>
      <c r="D758" t="s">
        <v>14</v>
      </c>
      <c r="E758" t="s">
        <v>15</v>
      </c>
      <c r="F758" s="5" t="s">
        <v>744</v>
      </c>
      <c r="G758">
        <v>0</v>
      </c>
      <c r="H758">
        <v>55</v>
      </c>
      <c r="I758">
        <v>58</v>
      </c>
      <c r="J758">
        <v>52</v>
      </c>
      <c r="K758">
        <f t="shared" si="11"/>
        <v>56.5</v>
      </c>
    </row>
    <row r="759" spans="1:11">
      <c r="A759" t="s">
        <v>24</v>
      </c>
      <c r="B759" t="s">
        <v>69</v>
      </c>
      <c r="C759" t="s">
        <v>13</v>
      </c>
      <c r="D759" t="s">
        <v>27</v>
      </c>
      <c r="E759" t="s">
        <v>19</v>
      </c>
      <c r="F759" s="5" t="s">
        <v>745</v>
      </c>
      <c r="G759">
        <v>2</v>
      </c>
      <c r="H759">
        <v>70</v>
      </c>
      <c r="I759">
        <v>68</v>
      </c>
      <c r="J759">
        <v>72</v>
      </c>
      <c r="K759">
        <f t="shared" si="11"/>
        <v>69</v>
      </c>
    </row>
    <row r="760" spans="1:11">
      <c r="A760" t="s">
        <v>11</v>
      </c>
      <c r="B760" t="s">
        <v>38</v>
      </c>
      <c r="C760" t="s">
        <v>18</v>
      </c>
      <c r="D760" t="s">
        <v>27</v>
      </c>
      <c r="E760" t="s">
        <v>19</v>
      </c>
      <c r="F760" s="5" t="s">
        <v>746</v>
      </c>
      <c r="G760">
        <v>18</v>
      </c>
      <c r="H760">
        <v>52</v>
      </c>
      <c r="I760">
        <v>59</v>
      </c>
      <c r="J760">
        <v>65</v>
      </c>
      <c r="K760">
        <f t="shared" si="11"/>
        <v>55.5</v>
      </c>
    </row>
    <row r="761" spans="1:11">
      <c r="A761" t="s">
        <v>24</v>
      </c>
      <c r="B761" t="s">
        <v>12</v>
      </c>
      <c r="C761" t="s">
        <v>18</v>
      </c>
      <c r="D761" t="s">
        <v>14</v>
      </c>
      <c r="E761" t="s">
        <v>19</v>
      </c>
      <c r="F761">
        <v>9.355164619</v>
      </c>
      <c r="G761">
        <v>18</v>
      </c>
      <c r="H761">
        <v>69</v>
      </c>
      <c r="I761">
        <v>77</v>
      </c>
      <c r="J761">
        <v>77</v>
      </c>
      <c r="K761">
        <f t="shared" si="11"/>
        <v>73</v>
      </c>
    </row>
    <row r="762" spans="1:11">
      <c r="A762" t="s">
        <v>11</v>
      </c>
      <c r="B762" t="s">
        <v>17</v>
      </c>
      <c r="C762" t="s">
        <v>39</v>
      </c>
      <c r="D762" t="s">
        <v>27</v>
      </c>
      <c r="E762" t="s">
        <v>15</v>
      </c>
      <c r="F762" s="5" t="s">
        <v>747</v>
      </c>
      <c r="G762">
        <v>25</v>
      </c>
      <c r="H762">
        <v>53</v>
      </c>
      <c r="I762">
        <v>72</v>
      </c>
      <c r="J762">
        <v>64</v>
      </c>
      <c r="K762">
        <f t="shared" si="11"/>
        <v>62.5</v>
      </c>
    </row>
    <row r="763" spans="1:11">
      <c r="A763" t="s">
        <v>11</v>
      </c>
      <c r="B763" t="s">
        <v>38</v>
      </c>
      <c r="C763" t="s">
        <v>50</v>
      </c>
      <c r="D763" t="s">
        <v>14</v>
      </c>
      <c r="E763" t="s">
        <v>15</v>
      </c>
      <c r="F763" s="5" t="s">
        <v>748</v>
      </c>
      <c r="G763">
        <v>18</v>
      </c>
      <c r="H763">
        <v>48</v>
      </c>
      <c r="I763">
        <v>58</v>
      </c>
      <c r="J763">
        <v>54</v>
      </c>
      <c r="K763">
        <f t="shared" si="11"/>
        <v>53</v>
      </c>
    </row>
    <row r="764" spans="1:11">
      <c r="A764" t="s">
        <v>24</v>
      </c>
      <c r="B764" t="s">
        <v>38</v>
      </c>
      <c r="C764" t="s">
        <v>50</v>
      </c>
      <c r="D764" t="s">
        <v>14</v>
      </c>
      <c r="E764" t="s">
        <v>19</v>
      </c>
      <c r="F764" s="5" t="s">
        <v>749</v>
      </c>
      <c r="G764">
        <v>6</v>
      </c>
      <c r="H764">
        <v>78</v>
      </c>
      <c r="I764">
        <v>81</v>
      </c>
      <c r="J764">
        <v>86</v>
      </c>
      <c r="K764">
        <f t="shared" si="11"/>
        <v>79.5</v>
      </c>
    </row>
    <row r="765" spans="1:11">
      <c r="A765" t="s">
        <v>11</v>
      </c>
      <c r="B765" t="s">
        <v>12</v>
      </c>
      <c r="C765" t="s">
        <v>39</v>
      </c>
      <c r="D765" t="s">
        <v>14</v>
      </c>
      <c r="E765" t="s">
        <v>15</v>
      </c>
      <c r="F765" s="5" t="s">
        <v>750</v>
      </c>
      <c r="G765">
        <v>15</v>
      </c>
      <c r="H765">
        <v>62</v>
      </c>
      <c r="I765">
        <v>62</v>
      </c>
      <c r="J765">
        <v>63</v>
      </c>
      <c r="K765">
        <f t="shared" si="11"/>
        <v>62</v>
      </c>
    </row>
    <row r="766" spans="1:11">
      <c r="A766" t="s">
        <v>24</v>
      </c>
      <c r="B766" t="s">
        <v>38</v>
      </c>
      <c r="C766" t="s">
        <v>18</v>
      </c>
      <c r="D766" t="s">
        <v>14</v>
      </c>
      <c r="E766" t="s">
        <v>15</v>
      </c>
      <c r="F766" s="5" t="s">
        <v>751</v>
      </c>
      <c r="G766">
        <v>19</v>
      </c>
      <c r="H766">
        <v>60</v>
      </c>
      <c r="I766">
        <v>63</v>
      </c>
      <c r="J766">
        <v>59</v>
      </c>
      <c r="K766">
        <f t="shared" si="11"/>
        <v>61.5</v>
      </c>
    </row>
    <row r="767" spans="1:11">
      <c r="A767" t="s">
        <v>11</v>
      </c>
      <c r="B767" t="s">
        <v>12</v>
      </c>
      <c r="C767" t="s">
        <v>39</v>
      </c>
      <c r="D767" t="s">
        <v>14</v>
      </c>
      <c r="E767" t="s">
        <v>15</v>
      </c>
      <c r="F767" s="5" t="s">
        <v>752</v>
      </c>
      <c r="G767">
        <v>16</v>
      </c>
      <c r="H767">
        <v>74</v>
      </c>
      <c r="I767">
        <v>72</v>
      </c>
      <c r="J767">
        <v>72</v>
      </c>
      <c r="K767">
        <f t="shared" si="11"/>
        <v>73</v>
      </c>
    </row>
    <row r="768" spans="1:11">
      <c r="A768" t="s">
        <v>11</v>
      </c>
      <c r="B768" t="s">
        <v>17</v>
      </c>
      <c r="C768" t="s">
        <v>39</v>
      </c>
      <c r="D768" t="s">
        <v>14</v>
      </c>
      <c r="E768" t="s">
        <v>19</v>
      </c>
      <c r="F768" s="5" t="s">
        <v>753</v>
      </c>
      <c r="G768">
        <v>25</v>
      </c>
      <c r="H768">
        <v>58</v>
      </c>
      <c r="I768">
        <v>75</v>
      </c>
      <c r="J768">
        <v>77</v>
      </c>
      <c r="K768">
        <f t="shared" si="11"/>
        <v>66.5</v>
      </c>
    </row>
    <row r="769" spans="1:11">
      <c r="A769" t="s">
        <v>24</v>
      </c>
      <c r="B769" t="s">
        <v>12</v>
      </c>
      <c r="C769" t="s">
        <v>39</v>
      </c>
      <c r="D769" t="s">
        <v>14</v>
      </c>
      <c r="E769" t="s">
        <v>19</v>
      </c>
      <c r="F769" s="5" t="s">
        <v>754</v>
      </c>
      <c r="G769">
        <v>15</v>
      </c>
      <c r="H769">
        <v>76</v>
      </c>
      <c r="I769">
        <v>62</v>
      </c>
      <c r="J769">
        <v>60</v>
      </c>
      <c r="K769">
        <f t="shared" si="11"/>
        <v>69</v>
      </c>
    </row>
    <row r="770" spans="1:11">
      <c r="A770" t="s">
        <v>11</v>
      </c>
      <c r="B770" t="s">
        <v>38</v>
      </c>
      <c r="C770" t="s">
        <v>50</v>
      </c>
      <c r="D770" t="s">
        <v>14</v>
      </c>
      <c r="E770" t="s">
        <v>15</v>
      </c>
      <c r="F770" s="5" t="s">
        <v>755</v>
      </c>
      <c r="G770">
        <v>24</v>
      </c>
      <c r="H770">
        <v>68</v>
      </c>
      <c r="I770">
        <v>71</v>
      </c>
      <c r="J770">
        <v>75</v>
      </c>
      <c r="K770">
        <f t="shared" si="11"/>
        <v>69.5</v>
      </c>
    </row>
    <row r="771" spans="1:11">
      <c r="A771" t="s">
        <v>24</v>
      </c>
      <c r="B771" t="s">
        <v>25</v>
      </c>
      <c r="C771" t="s">
        <v>18</v>
      </c>
      <c r="D771" t="s">
        <v>27</v>
      </c>
      <c r="E771" t="s">
        <v>15</v>
      </c>
      <c r="F771" s="5" t="s">
        <v>756</v>
      </c>
      <c r="G771">
        <v>1</v>
      </c>
      <c r="H771">
        <v>58</v>
      </c>
      <c r="I771">
        <v>60</v>
      </c>
      <c r="J771">
        <v>57</v>
      </c>
      <c r="K771">
        <f t="shared" ref="K771:K834" si="12">(H771+I771)/2</f>
        <v>59</v>
      </c>
    </row>
    <row r="772" spans="1:11">
      <c r="A772" t="s">
        <v>24</v>
      </c>
      <c r="B772" t="s">
        <v>12</v>
      </c>
      <c r="C772" t="s">
        <v>39</v>
      </c>
      <c r="D772" t="s">
        <v>14</v>
      </c>
      <c r="E772" t="s">
        <v>15</v>
      </c>
      <c r="F772" s="5" t="s">
        <v>757</v>
      </c>
      <c r="G772">
        <v>9</v>
      </c>
      <c r="H772">
        <v>52</v>
      </c>
      <c r="I772">
        <v>48</v>
      </c>
      <c r="J772">
        <v>49</v>
      </c>
      <c r="K772">
        <f t="shared" si="12"/>
        <v>50</v>
      </c>
    </row>
    <row r="773" spans="1:11">
      <c r="A773" t="s">
        <v>24</v>
      </c>
      <c r="B773" t="s">
        <v>38</v>
      </c>
      <c r="C773" t="s">
        <v>13</v>
      </c>
      <c r="D773" t="s">
        <v>14</v>
      </c>
      <c r="E773" t="s">
        <v>15</v>
      </c>
      <c r="F773" s="5" t="s">
        <v>758</v>
      </c>
      <c r="G773">
        <v>11</v>
      </c>
      <c r="H773">
        <v>75</v>
      </c>
      <c r="I773">
        <v>73</v>
      </c>
      <c r="J773">
        <v>74</v>
      </c>
      <c r="K773">
        <f t="shared" si="12"/>
        <v>74</v>
      </c>
    </row>
    <row r="774" spans="1:11">
      <c r="A774" t="s">
        <v>11</v>
      </c>
      <c r="B774" t="s">
        <v>12</v>
      </c>
      <c r="C774" t="s">
        <v>50</v>
      </c>
      <c r="D774" t="s">
        <v>27</v>
      </c>
      <c r="E774" t="s">
        <v>19</v>
      </c>
      <c r="F774" s="5" t="s">
        <v>759</v>
      </c>
      <c r="G774">
        <v>10</v>
      </c>
      <c r="H774">
        <v>52</v>
      </c>
      <c r="I774">
        <v>67</v>
      </c>
      <c r="J774">
        <v>72</v>
      </c>
      <c r="K774">
        <f t="shared" si="12"/>
        <v>59.5</v>
      </c>
    </row>
    <row r="775" spans="1:11">
      <c r="A775" t="s">
        <v>11</v>
      </c>
      <c r="B775" t="s">
        <v>17</v>
      </c>
      <c r="C775" t="s">
        <v>13</v>
      </c>
      <c r="D775" t="s">
        <v>27</v>
      </c>
      <c r="E775" t="s">
        <v>15</v>
      </c>
      <c r="F775" s="5" t="s">
        <v>760</v>
      </c>
      <c r="G775">
        <v>19</v>
      </c>
      <c r="H775">
        <v>62</v>
      </c>
      <c r="I775">
        <v>78</v>
      </c>
      <c r="J775">
        <v>79</v>
      </c>
      <c r="K775">
        <f t="shared" si="12"/>
        <v>70</v>
      </c>
    </row>
    <row r="776" spans="1:11">
      <c r="A776" t="s">
        <v>24</v>
      </c>
      <c r="B776" t="s">
        <v>12</v>
      </c>
      <c r="C776" t="s">
        <v>18</v>
      </c>
      <c r="D776" t="s">
        <v>14</v>
      </c>
      <c r="E776" t="s">
        <v>15</v>
      </c>
      <c r="F776" s="5" t="s">
        <v>761</v>
      </c>
      <c r="G776">
        <v>18</v>
      </c>
      <c r="H776">
        <v>66</v>
      </c>
      <c r="I776">
        <v>65</v>
      </c>
      <c r="J776">
        <v>60</v>
      </c>
      <c r="K776">
        <f t="shared" si="12"/>
        <v>65.5</v>
      </c>
    </row>
    <row r="777" spans="1:11">
      <c r="A777" t="s">
        <v>11</v>
      </c>
      <c r="B777" t="s">
        <v>12</v>
      </c>
      <c r="C777" t="s">
        <v>50</v>
      </c>
      <c r="D777" t="s">
        <v>27</v>
      </c>
      <c r="E777" t="s">
        <v>15</v>
      </c>
      <c r="F777" s="5" t="s">
        <v>762</v>
      </c>
      <c r="G777">
        <v>18</v>
      </c>
      <c r="H777">
        <v>49</v>
      </c>
      <c r="I777">
        <v>58</v>
      </c>
      <c r="J777">
        <v>55</v>
      </c>
      <c r="K777">
        <f t="shared" si="12"/>
        <v>53.5</v>
      </c>
    </row>
    <row r="778" spans="1:11">
      <c r="A778" t="s">
        <v>11</v>
      </c>
      <c r="B778" t="s">
        <v>12</v>
      </c>
      <c r="C778" t="s">
        <v>39</v>
      </c>
      <c r="D778" t="s">
        <v>14</v>
      </c>
      <c r="E778" t="s">
        <v>15</v>
      </c>
      <c r="F778" s="5" t="s">
        <v>763</v>
      </c>
      <c r="G778">
        <v>25</v>
      </c>
      <c r="H778">
        <v>66</v>
      </c>
      <c r="I778">
        <v>72</v>
      </c>
      <c r="J778">
        <v>70</v>
      </c>
      <c r="K778">
        <f t="shared" si="12"/>
        <v>69</v>
      </c>
    </row>
    <row r="779" spans="1:11">
      <c r="A779" t="s">
        <v>11</v>
      </c>
      <c r="B779" t="s">
        <v>17</v>
      </c>
      <c r="C779" t="s">
        <v>18</v>
      </c>
      <c r="D779" t="s">
        <v>27</v>
      </c>
      <c r="E779" t="s">
        <v>15</v>
      </c>
      <c r="F779" s="5" t="s">
        <v>764</v>
      </c>
      <c r="G779">
        <v>23</v>
      </c>
      <c r="H779">
        <v>35</v>
      </c>
      <c r="I779">
        <v>44</v>
      </c>
      <c r="J779">
        <v>43</v>
      </c>
      <c r="K779">
        <f t="shared" si="12"/>
        <v>39.5</v>
      </c>
    </row>
    <row r="780" spans="1:11">
      <c r="A780" t="s">
        <v>11</v>
      </c>
      <c r="B780" t="s">
        <v>25</v>
      </c>
      <c r="C780" t="s">
        <v>18</v>
      </c>
      <c r="D780" t="s">
        <v>14</v>
      </c>
      <c r="E780" t="s">
        <v>19</v>
      </c>
      <c r="F780" s="5" t="s">
        <v>765</v>
      </c>
      <c r="G780">
        <v>27</v>
      </c>
      <c r="H780">
        <v>72</v>
      </c>
      <c r="I780">
        <v>79</v>
      </c>
      <c r="J780">
        <v>82</v>
      </c>
      <c r="K780">
        <f t="shared" si="12"/>
        <v>75.5</v>
      </c>
    </row>
    <row r="781" spans="1:11">
      <c r="A781" t="s">
        <v>24</v>
      </c>
      <c r="B781" t="s">
        <v>69</v>
      </c>
      <c r="C781" t="s">
        <v>26</v>
      </c>
      <c r="D781" t="s">
        <v>14</v>
      </c>
      <c r="E781" t="s">
        <v>19</v>
      </c>
      <c r="F781" s="5" t="s">
        <v>766</v>
      </c>
      <c r="G781">
        <v>26</v>
      </c>
      <c r="H781">
        <v>94</v>
      </c>
      <c r="I781">
        <v>85</v>
      </c>
      <c r="J781">
        <v>82</v>
      </c>
      <c r="K781">
        <f t="shared" si="12"/>
        <v>89.5</v>
      </c>
    </row>
    <row r="782" spans="1:11">
      <c r="A782" t="s">
        <v>11</v>
      </c>
      <c r="B782" t="s">
        <v>38</v>
      </c>
      <c r="C782" t="s">
        <v>26</v>
      </c>
      <c r="D782" t="s">
        <v>27</v>
      </c>
      <c r="E782" t="s">
        <v>15</v>
      </c>
      <c r="F782" s="5" t="s">
        <v>767</v>
      </c>
      <c r="G782">
        <v>18</v>
      </c>
      <c r="H782">
        <v>46</v>
      </c>
      <c r="I782">
        <v>56</v>
      </c>
      <c r="J782">
        <v>57</v>
      </c>
      <c r="K782">
        <f t="shared" si="12"/>
        <v>51</v>
      </c>
    </row>
    <row r="783" spans="1:11">
      <c r="A783" t="s">
        <v>11</v>
      </c>
      <c r="B783" t="s">
        <v>12</v>
      </c>
      <c r="C783" t="s">
        <v>22</v>
      </c>
      <c r="D783" t="s">
        <v>14</v>
      </c>
      <c r="E783" t="s">
        <v>15</v>
      </c>
      <c r="F783" s="5" t="s">
        <v>768</v>
      </c>
      <c r="G783">
        <v>6</v>
      </c>
      <c r="H783">
        <v>77</v>
      </c>
      <c r="I783">
        <v>90</v>
      </c>
      <c r="J783">
        <v>84</v>
      </c>
      <c r="K783">
        <f t="shared" si="12"/>
        <v>83.5</v>
      </c>
    </row>
    <row r="784" spans="1:11">
      <c r="A784" t="s">
        <v>11</v>
      </c>
      <c r="B784" t="s">
        <v>12</v>
      </c>
      <c r="C784" t="s">
        <v>39</v>
      </c>
      <c r="D784" t="s">
        <v>27</v>
      </c>
      <c r="E784" t="s">
        <v>19</v>
      </c>
      <c r="F784" s="5" t="s">
        <v>769</v>
      </c>
      <c r="G784">
        <v>14</v>
      </c>
      <c r="H784">
        <v>76</v>
      </c>
      <c r="I784">
        <v>85</v>
      </c>
      <c r="J784">
        <v>82</v>
      </c>
      <c r="K784">
        <f t="shared" si="12"/>
        <v>80.5</v>
      </c>
    </row>
    <row r="785" spans="1:11">
      <c r="A785" t="s">
        <v>11</v>
      </c>
      <c r="B785" t="s">
        <v>17</v>
      </c>
      <c r="C785" t="s">
        <v>26</v>
      </c>
      <c r="D785" t="s">
        <v>14</v>
      </c>
      <c r="E785" t="s">
        <v>19</v>
      </c>
      <c r="F785" s="5" t="s">
        <v>770</v>
      </c>
      <c r="G785">
        <v>14</v>
      </c>
      <c r="H785">
        <v>52</v>
      </c>
      <c r="I785">
        <v>59</v>
      </c>
      <c r="J785">
        <v>62</v>
      </c>
      <c r="K785">
        <f t="shared" si="12"/>
        <v>55.5</v>
      </c>
    </row>
    <row r="786" spans="1:11">
      <c r="A786" t="s">
        <v>24</v>
      </c>
      <c r="B786" t="s">
        <v>17</v>
      </c>
      <c r="C786" t="s">
        <v>13</v>
      </c>
      <c r="D786" t="s">
        <v>14</v>
      </c>
      <c r="E786" t="s">
        <v>19</v>
      </c>
      <c r="F786" s="5" t="s">
        <v>771</v>
      </c>
      <c r="G786">
        <v>11</v>
      </c>
      <c r="H786">
        <v>91</v>
      </c>
      <c r="I786">
        <v>81</v>
      </c>
      <c r="J786">
        <v>79</v>
      </c>
      <c r="K786">
        <f t="shared" si="12"/>
        <v>86</v>
      </c>
    </row>
    <row r="787" spans="1:11">
      <c r="A787" t="s">
        <v>11</v>
      </c>
      <c r="B787" t="s">
        <v>12</v>
      </c>
      <c r="C787" t="s">
        <v>50</v>
      </c>
      <c r="D787" t="s">
        <v>14</v>
      </c>
      <c r="E787" t="s">
        <v>19</v>
      </c>
      <c r="F787" s="5" t="s">
        <v>772</v>
      </c>
      <c r="G787">
        <v>12</v>
      </c>
      <c r="H787">
        <v>32</v>
      </c>
      <c r="I787">
        <v>51</v>
      </c>
      <c r="J787">
        <v>44</v>
      </c>
      <c r="K787">
        <f t="shared" si="12"/>
        <v>41.5</v>
      </c>
    </row>
    <row r="788" spans="1:11">
      <c r="A788" t="s">
        <v>11</v>
      </c>
      <c r="B788" t="s">
        <v>69</v>
      </c>
      <c r="C788" t="s">
        <v>50</v>
      </c>
      <c r="D788" t="s">
        <v>27</v>
      </c>
      <c r="E788" t="s">
        <v>15</v>
      </c>
      <c r="F788" s="5" t="s">
        <v>773</v>
      </c>
      <c r="G788">
        <v>4</v>
      </c>
      <c r="H788">
        <v>72</v>
      </c>
      <c r="I788">
        <v>79</v>
      </c>
      <c r="J788">
        <v>77</v>
      </c>
      <c r="K788">
        <f t="shared" si="12"/>
        <v>75.5</v>
      </c>
    </row>
    <row r="789" spans="1:11">
      <c r="A789" t="s">
        <v>11</v>
      </c>
      <c r="B789" t="s">
        <v>12</v>
      </c>
      <c r="C789" t="s">
        <v>18</v>
      </c>
      <c r="D789" t="s">
        <v>14</v>
      </c>
      <c r="E789" t="s">
        <v>15</v>
      </c>
      <c r="F789" s="5" t="s">
        <v>774</v>
      </c>
      <c r="G789">
        <v>27</v>
      </c>
      <c r="H789">
        <v>19</v>
      </c>
      <c r="I789">
        <v>38</v>
      </c>
      <c r="J789">
        <v>32</v>
      </c>
      <c r="K789">
        <f t="shared" si="12"/>
        <v>28.5</v>
      </c>
    </row>
    <row r="790" spans="1:11">
      <c r="A790" t="s">
        <v>24</v>
      </c>
      <c r="B790" t="s">
        <v>17</v>
      </c>
      <c r="C790" t="s">
        <v>26</v>
      </c>
      <c r="D790" t="s">
        <v>27</v>
      </c>
      <c r="E790" t="s">
        <v>15</v>
      </c>
      <c r="F790" s="5" t="s">
        <v>775</v>
      </c>
      <c r="G790">
        <v>9</v>
      </c>
      <c r="H790">
        <v>68</v>
      </c>
      <c r="I790">
        <v>65</v>
      </c>
      <c r="J790">
        <v>61</v>
      </c>
      <c r="K790">
        <f t="shared" si="12"/>
        <v>66.5</v>
      </c>
    </row>
    <row r="791" spans="1:11">
      <c r="A791" t="s">
        <v>11</v>
      </c>
      <c r="B791" t="s">
        <v>17</v>
      </c>
      <c r="C791" t="s">
        <v>22</v>
      </c>
      <c r="D791" t="s">
        <v>27</v>
      </c>
      <c r="E791" t="s">
        <v>15</v>
      </c>
      <c r="F791" s="5" t="s">
        <v>776</v>
      </c>
      <c r="G791">
        <v>15</v>
      </c>
      <c r="H791">
        <v>52</v>
      </c>
      <c r="I791">
        <v>65</v>
      </c>
      <c r="J791">
        <v>61</v>
      </c>
      <c r="K791">
        <f t="shared" si="12"/>
        <v>58.5</v>
      </c>
    </row>
    <row r="792" spans="1:11">
      <c r="A792" t="s">
        <v>11</v>
      </c>
      <c r="B792" t="s">
        <v>12</v>
      </c>
      <c r="C792" t="s">
        <v>39</v>
      </c>
      <c r="D792" t="s">
        <v>14</v>
      </c>
      <c r="E792" t="s">
        <v>15</v>
      </c>
      <c r="F792" s="5" t="s">
        <v>777</v>
      </c>
      <c r="G792">
        <v>1</v>
      </c>
      <c r="H792">
        <v>48</v>
      </c>
      <c r="I792">
        <v>62</v>
      </c>
      <c r="J792">
        <v>60</v>
      </c>
      <c r="K792">
        <f t="shared" si="12"/>
        <v>55</v>
      </c>
    </row>
    <row r="793" spans="1:11">
      <c r="A793" t="s">
        <v>11</v>
      </c>
      <c r="B793" t="s">
        <v>38</v>
      </c>
      <c r="C793" t="s">
        <v>18</v>
      </c>
      <c r="D793" t="s">
        <v>27</v>
      </c>
      <c r="E793" t="s">
        <v>15</v>
      </c>
      <c r="F793" s="5" t="s">
        <v>778</v>
      </c>
      <c r="G793">
        <v>26</v>
      </c>
      <c r="H793">
        <v>60</v>
      </c>
      <c r="I793">
        <v>66</v>
      </c>
      <c r="J793">
        <v>70</v>
      </c>
      <c r="K793">
        <f t="shared" si="12"/>
        <v>63</v>
      </c>
    </row>
    <row r="794" spans="1:11">
      <c r="A794" t="s">
        <v>24</v>
      </c>
      <c r="B794" t="s">
        <v>38</v>
      </c>
      <c r="C794" t="s">
        <v>39</v>
      </c>
      <c r="D794" t="s">
        <v>27</v>
      </c>
      <c r="E794" t="s">
        <v>15</v>
      </c>
      <c r="F794" s="5" t="s">
        <v>779</v>
      </c>
      <c r="G794">
        <v>18</v>
      </c>
      <c r="H794">
        <v>66</v>
      </c>
      <c r="I794">
        <v>74</v>
      </c>
      <c r="J794">
        <v>69</v>
      </c>
      <c r="K794">
        <f t="shared" si="12"/>
        <v>70</v>
      </c>
    </row>
    <row r="795" spans="1:11">
      <c r="A795" t="s">
        <v>24</v>
      </c>
      <c r="B795" t="s">
        <v>69</v>
      </c>
      <c r="C795" t="s">
        <v>50</v>
      </c>
      <c r="D795" t="s">
        <v>14</v>
      </c>
      <c r="E795" t="s">
        <v>19</v>
      </c>
      <c r="F795" s="5" t="s">
        <v>780</v>
      </c>
      <c r="G795">
        <v>7</v>
      </c>
      <c r="H795">
        <v>89</v>
      </c>
      <c r="I795">
        <v>84</v>
      </c>
      <c r="J795">
        <v>77</v>
      </c>
      <c r="K795">
        <f t="shared" si="12"/>
        <v>86.5</v>
      </c>
    </row>
    <row r="796" spans="1:11">
      <c r="A796" t="s">
        <v>11</v>
      </c>
      <c r="B796" t="s">
        <v>12</v>
      </c>
      <c r="C796" t="s">
        <v>39</v>
      </c>
      <c r="D796" t="s">
        <v>14</v>
      </c>
      <c r="E796" t="s">
        <v>15</v>
      </c>
      <c r="F796" s="5" t="s">
        <v>781</v>
      </c>
      <c r="G796">
        <v>11</v>
      </c>
      <c r="H796">
        <v>42</v>
      </c>
      <c r="I796">
        <v>52</v>
      </c>
      <c r="J796">
        <v>51</v>
      </c>
      <c r="K796">
        <f t="shared" si="12"/>
        <v>47</v>
      </c>
    </row>
    <row r="797" spans="1:11">
      <c r="A797" t="s">
        <v>11</v>
      </c>
      <c r="B797" t="s">
        <v>69</v>
      </c>
      <c r="C797" t="s">
        <v>26</v>
      </c>
      <c r="D797" t="s">
        <v>27</v>
      </c>
      <c r="E797" t="s">
        <v>19</v>
      </c>
      <c r="F797" s="5" t="s">
        <v>782</v>
      </c>
      <c r="G797">
        <v>8</v>
      </c>
      <c r="H797">
        <v>57</v>
      </c>
      <c r="I797">
        <v>68</v>
      </c>
      <c r="J797">
        <v>73</v>
      </c>
      <c r="K797">
        <f t="shared" si="12"/>
        <v>62.5</v>
      </c>
    </row>
    <row r="798" spans="1:11">
      <c r="A798" t="s">
        <v>24</v>
      </c>
      <c r="B798" t="s">
        <v>38</v>
      </c>
      <c r="C798" t="s">
        <v>39</v>
      </c>
      <c r="D798" t="s">
        <v>14</v>
      </c>
      <c r="E798" t="s">
        <v>15</v>
      </c>
      <c r="F798" s="5" t="s">
        <v>783</v>
      </c>
      <c r="G798">
        <v>13</v>
      </c>
      <c r="H798">
        <v>70</v>
      </c>
      <c r="I798">
        <v>70</v>
      </c>
      <c r="J798">
        <v>70</v>
      </c>
      <c r="K798">
        <f t="shared" si="12"/>
        <v>70</v>
      </c>
    </row>
    <row r="799" spans="1:11">
      <c r="A799" t="s">
        <v>11</v>
      </c>
      <c r="B799" t="s">
        <v>69</v>
      </c>
      <c r="C799" t="s">
        <v>26</v>
      </c>
      <c r="D799" t="s">
        <v>27</v>
      </c>
      <c r="E799" t="s">
        <v>15</v>
      </c>
      <c r="F799" s="5" t="s">
        <v>784</v>
      </c>
      <c r="G799">
        <v>6</v>
      </c>
      <c r="H799">
        <v>70</v>
      </c>
      <c r="I799">
        <v>84</v>
      </c>
      <c r="J799">
        <v>81</v>
      </c>
      <c r="K799">
        <f t="shared" si="12"/>
        <v>77</v>
      </c>
    </row>
    <row r="800" spans="1:11">
      <c r="A800" t="s">
        <v>24</v>
      </c>
      <c r="B800" t="s">
        <v>69</v>
      </c>
      <c r="C800" t="s">
        <v>18</v>
      </c>
      <c r="D800" t="s">
        <v>14</v>
      </c>
      <c r="E800" t="s">
        <v>15</v>
      </c>
      <c r="F800" s="5" t="s">
        <v>785</v>
      </c>
      <c r="G800">
        <v>19</v>
      </c>
      <c r="H800">
        <v>69</v>
      </c>
      <c r="I800">
        <v>60</v>
      </c>
      <c r="J800">
        <v>54</v>
      </c>
      <c r="K800">
        <f t="shared" si="12"/>
        <v>64.5</v>
      </c>
    </row>
    <row r="801" spans="1:11">
      <c r="A801" t="s">
        <v>11</v>
      </c>
      <c r="B801" t="s">
        <v>17</v>
      </c>
      <c r="C801" t="s">
        <v>26</v>
      </c>
      <c r="D801" t="s">
        <v>14</v>
      </c>
      <c r="E801" t="s">
        <v>15</v>
      </c>
      <c r="F801" s="5" t="s">
        <v>786</v>
      </c>
      <c r="G801">
        <v>6</v>
      </c>
      <c r="H801">
        <v>52</v>
      </c>
      <c r="I801">
        <v>55</v>
      </c>
      <c r="J801">
        <v>57</v>
      </c>
      <c r="K801">
        <f t="shared" si="12"/>
        <v>53.5</v>
      </c>
    </row>
    <row r="802" spans="1:11">
      <c r="A802" t="s">
        <v>24</v>
      </c>
      <c r="B802" t="s">
        <v>17</v>
      </c>
      <c r="C802" t="s">
        <v>50</v>
      </c>
      <c r="D802" t="s">
        <v>14</v>
      </c>
      <c r="E802" t="s">
        <v>19</v>
      </c>
      <c r="F802" s="5" t="s">
        <v>787</v>
      </c>
      <c r="G802">
        <v>9</v>
      </c>
      <c r="H802">
        <v>67</v>
      </c>
      <c r="I802">
        <v>73</v>
      </c>
      <c r="J802">
        <v>68</v>
      </c>
      <c r="K802">
        <f t="shared" si="12"/>
        <v>70</v>
      </c>
    </row>
    <row r="803" spans="1:11">
      <c r="A803" t="s">
        <v>24</v>
      </c>
      <c r="B803" t="s">
        <v>17</v>
      </c>
      <c r="C803" t="s">
        <v>50</v>
      </c>
      <c r="D803" t="s">
        <v>14</v>
      </c>
      <c r="E803" t="s">
        <v>19</v>
      </c>
      <c r="F803" s="5" t="s">
        <v>788</v>
      </c>
      <c r="G803">
        <v>4</v>
      </c>
      <c r="H803">
        <v>76</v>
      </c>
      <c r="I803">
        <v>80</v>
      </c>
      <c r="J803">
        <v>73</v>
      </c>
      <c r="K803">
        <f t="shared" si="12"/>
        <v>78</v>
      </c>
    </row>
    <row r="804" spans="1:11">
      <c r="A804" t="s">
        <v>11</v>
      </c>
      <c r="B804" t="s">
        <v>69</v>
      </c>
      <c r="C804" t="s">
        <v>26</v>
      </c>
      <c r="D804" t="s">
        <v>14</v>
      </c>
      <c r="E804" t="s">
        <v>15</v>
      </c>
      <c r="F804" s="5" t="s">
        <v>789</v>
      </c>
      <c r="G804">
        <v>3</v>
      </c>
      <c r="H804">
        <v>87</v>
      </c>
      <c r="I804">
        <v>94</v>
      </c>
      <c r="J804">
        <v>95</v>
      </c>
      <c r="K804">
        <f t="shared" si="12"/>
        <v>90.5</v>
      </c>
    </row>
    <row r="805" spans="1:11">
      <c r="A805" t="s">
        <v>11</v>
      </c>
      <c r="B805" t="s">
        <v>12</v>
      </c>
      <c r="C805" t="s">
        <v>18</v>
      </c>
      <c r="D805" t="s">
        <v>14</v>
      </c>
      <c r="E805" t="s">
        <v>15</v>
      </c>
      <c r="F805" s="5" t="s">
        <v>790</v>
      </c>
      <c r="G805">
        <v>5</v>
      </c>
      <c r="H805">
        <v>82</v>
      </c>
      <c r="I805">
        <v>85</v>
      </c>
      <c r="J805">
        <v>87</v>
      </c>
      <c r="K805">
        <f t="shared" si="12"/>
        <v>83.5</v>
      </c>
    </row>
    <row r="806" spans="1:11">
      <c r="A806" t="s">
        <v>11</v>
      </c>
      <c r="B806" t="s">
        <v>17</v>
      </c>
      <c r="C806" t="s">
        <v>18</v>
      </c>
      <c r="D806" t="s">
        <v>14</v>
      </c>
      <c r="E806" t="s">
        <v>15</v>
      </c>
      <c r="F806" s="5" t="s">
        <v>791</v>
      </c>
      <c r="G806">
        <v>8</v>
      </c>
      <c r="H806">
        <v>73</v>
      </c>
      <c r="I806">
        <v>76</v>
      </c>
      <c r="J806">
        <v>78</v>
      </c>
      <c r="K806">
        <f t="shared" si="12"/>
        <v>74.5</v>
      </c>
    </row>
    <row r="807" spans="1:11">
      <c r="A807" t="s">
        <v>24</v>
      </c>
      <c r="B807" t="s">
        <v>25</v>
      </c>
      <c r="C807" t="s">
        <v>18</v>
      </c>
      <c r="D807" t="s">
        <v>27</v>
      </c>
      <c r="E807" t="s">
        <v>15</v>
      </c>
      <c r="F807" s="5" t="s">
        <v>792</v>
      </c>
      <c r="G807">
        <v>5</v>
      </c>
      <c r="H807">
        <v>75</v>
      </c>
      <c r="I807">
        <v>81</v>
      </c>
      <c r="J807">
        <v>74</v>
      </c>
      <c r="K807">
        <f t="shared" si="12"/>
        <v>78</v>
      </c>
    </row>
    <row r="808" spans="1:11">
      <c r="A808" t="s">
        <v>11</v>
      </c>
      <c r="B808" t="s">
        <v>38</v>
      </c>
      <c r="C808" t="s">
        <v>18</v>
      </c>
      <c r="D808" t="s">
        <v>27</v>
      </c>
      <c r="E808" t="s">
        <v>15</v>
      </c>
      <c r="F808" s="5" t="s">
        <v>793</v>
      </c>
      <c r="G808">
        <v>17</v>
      </c>
      <c r="H808">
        <v>64</v>
      </c>
      <c r="I808">
        <v>74</v>
      </c>
      <c r="J808">
        <v>75</v>
      </c>
      <c r="K808">
        <f t="shared" si="12"/>
        <v>69</v>
      </c>
    </row>
    <row r="809" spans="1:11">
      <c r="A809" t="s">
        <v>11</v>
      </c>
      <c r="B809" t="s">
        <v>69</v>
      </c>
      <c r="C809" t="s">
        <v>39</v>
      </c>
      <c r="D809" t="s">
        <v>27</v>
      </c>
      <c r="E809" t="s">
        <v>15</v>
      </c>
      <c r="F809" s="5" t="s">
        <v>794</v>
      </c>
      <c r="G809">
        <v>29</v>
      </c>
      <c r="H809">
        <v>41</v>
      </c>
      <c r="I809">
        <v>45</v>
      </c>
      <c r="J809">
        <v>40</v>
      </c>
      <c r="K809">
        <f t="shared" si="12"/>
        <v>43</v>
      </c>
    </row>
    <row r="810" spans="1:11">
      <c r="A810" t="s">
        <v>24</v>
      </c>
      <c r="B810" t="s">
        <v>17</v>
      </c>
      <c r="C810" t="s">
        <v>39</v>
      </c>
      <c r="D810" t="s">
        <v>14</v>
      </c>
      <c r="E810" t="s">
        <v>15</v>
      </c>
      <c r="F810" s="5" t="s">
        <v>795</v>
      </c>
      <c r="G810">
        <v>19</v>
      </c>
      <c r="H810">
        <v>90</v>
      </c>
      <c r="I810">
        <v>75</v>
      </c>
      <c r="J810">
        <v>69</v>
      </c>
      <c r="K810">
        <f t="shared" si="12"/>
        <v>82.5</v>
      </c>
    </row>
    <row r="811" spans="1:11">
      <c r="A811" t="s">
        <v>24</v>
      </c>
      <c r="B811" t="s">
        <v>12</v>
      </c>
      <c r="C811" t="s">
        <v>13</v>
      </c>
      <c r="D811" t="s">
        <v>14</v>
      </c>
      <c r="E811" t="s">
        <v>15</v>
      </c>
      <c r="F811" s="5" t="s">
        <v>796</v>
      </c>
      <c r="G811">
        <v>24</v>
      </c>
      <c r="H811">
        <v>59</v>
      </c>
      <c r="I811">
        <v>54</v>
      </c>
      <c r="J811">
        <v>51</v>
      </c>
      <c r="K811">
        <f t="shared" si="12"/>
        <v>56.5</v>
      </c>
    </row>
    <row r="812" spans="1:11">
      <c r="A812" t="s">
        <v>24</v>
      </c>
      <c r="B812" t="s">
        <v>25</v>
      </c>
      <c r="C812" t="s">
        <v>50</v>
      </c>
      <c r="D812" t="s">
        <v>14</v>
      </c>
      <c r="E812" t="s">
        <v>15</v>
      </c>
      <c r="F812" s="5" t="s">
        <v>797</v>
      </c>
      <c r="G812">
        <v>10</v>
      </c>
      <c r="H812">
        <v>51</v>
      </c>
      <c r="I812">
        <v>31</v>
      </c>
      <c r="J812">
        <v>36</v>
      </c>
      <c r="K812">
        <f t="shared" si="12"/>
        <v>41</v>
      </c>
    </row>
    <row r="813" spans="1:11">
      <c r="A813" t="s">
        <v>24</v>
      </c>
      <c r="B813" t="s">
        <v>25</v>
      </c>
      <c r="C813" t="s">
        <v>39</v>
      </c>
      <c r="D813" t="s">
        <v>27</v>
      </c>
      <c r="E813" t="s">
        <v>15</v>
      </c>
      <c r="F813" s="5" t="s">
        <v>798</v>
      </c>
      <c r="G813">
        <v>4</v>
      </c>
      <c r="H813">
        <v>45</v>
      </c>
      <c r="I813">
        <v>47</v>
      </c>
      <c r="J813">
        <v>49</v>
      </c>
      <c r="K813">
        <f t="shared" si="12"/>
        <v>46</v>
      </c>
    </row>
    <row r="814" spans="1:11">
      <c r="A814" t="s">
        <v>11</v>
      </c>
      <c r="B814" t="s">
        <v>17</v>
      </c>
      <c r="C814" t="s">
        <v>22</v>
      </c>
      <c r="D814" t="s">
        <v>14</v>
      </c>
      <c r="E814" t="s">
        <v>19</v>
      </c>
      <c r="F814" s="5" t="s">
        <v>799</v>
      </c>
      <c r="G814">
        <v>21</v>
      </c>
      <c r="H814">
        <v>54</v>
      </c>
      <c r="I814">
        <v>64</v>
      </c>
      <c r="J814">
        <v>67</v>
      </c>
      <c r="K814">
        <f t="shared" si="12"/>
        <v>59</v>
      </c>
    </row>
    <row r="815" spans="1:11">
      <c r="A815" t="s">
        <v>24</v>
      </c>
      <c r="B815" t="s">
        <v>69</v>
      </c>
      <c r="C815" t="s">
        <v>50</v>
      </c>
      <c r="D815" t="s">
        <v>14</v>
      </c>
      <c r="E815" t="s">
        <v>19</v>
      </c>
      <c r="F815" s="5" t="s">
        <v>800</v>
      </c>
      <c r="G815">
        <v>21</v>
      </c>
      <c r="H815">
        <v>87</v>
      </c>
      <c r="I815">
        <v>84</v>
      </c>
      <c r="J815">
        <v>76</v>
      </c>
      <c r="K815">
        <f t="shared" si="12"/>
        <v>85.5</v>
      </c>
    </row>
    <row r="816" spans="1:11">
      <c r="A816" t="s">
        <v>11</v>
      </c>
      <c r="B816" t="s">
        <v>17</v>
      </c>
      <c r="C816" t="s">
        <v>39</v>
      </c>
      <c r="D816" t="s">
        <v>14</v>
      </c>
      <c r="E816" t="s">
        <v>15</v>
      </c>
      <c r="F816" s="5" t="s">
        <v>801</v>
      </c>
      <c r="G816">
        <v>8</v>
      </c>
      <c r="H816">
        <v>72</v>
      </c>
      <c r="I816">
        <v>80</v>
      </c>
      <c r="J816">
        <v>83</v>
      </c>
      <c r="K816">
        <f t="shared" si="12"/>
        <v>76</v>
      </c>
    </row>
    <row r="817" spans="1:11">
      <c r="A817" t="s">
        <v>24</v>
      </c>
      <c r="B817" t="s">
        <v>12</v>
      </c>
      <c r="C817" t="s">
        <v>50</v>
      </c>
      <c r="D817" t="s">
        <v>14</v>
      </c>
      <c r="E817" t="s">
        <v>19</v>
      </c>
      <c r="F817" s="5" t="s">
        <v>802</v>
      </c>
      <c r="G817">
        <v>5</v>
      </c>
      <c r="H817">
        <v>94</v>
      </c>
      <c r="I817">
        <v>86</v>
      </c>
      <c r="J817">
        <v>87</v>
      </c>
      <c r="K817">
        <f t="shared" si="12"/>
        <v>90</v>
      </c>
    </row>
    <row r="818" spans="1:11">
      <c r="A818" t="s">
        <v>11</v>
      </c>
      <c r="B818" t="s">
        <v>25</v>
      </c>
      <c r="C818" t="s">
        <v>13</v>
      </c>
      <c r="D818" t="s">
        <v>14</v>
      </c>
      <c r="E818" t="s">
        <v>15</v>
      </c>
      <c r="F818" s="5" t="s">
        <v>803</v>
      </c>
      <c r="G818">
        <v>21</v>
      </c>
      <c r="H818">
        <v>45</v>
      </c>
      <c r="I818">
        <v>59</v>
      </c>
      <c r="J818">
        <v>64</v>
      </c>
      <c r="K818">
        <f t="shared" si="12"/>
        <v>52</v>
      </c>
    </row>
    <row r="819" spans="1:11">
      <c r="A819" t="s">
        <v>24</v>
      </c>
      <c r="B819" t="s">
        <v>38</v>
      </c>
      <c r="C819" t="s">
        <v>13</v>
      </c>
      <c r="D819" t="s">
        <v>27</v>
      </c>
      <c r="E819" t="s">
        <v>19</v>
      </c>
      <c r="F819" s="5" t="s">
        <v>804</v>
      </c>
      <c r="G819">
        <v>8</v>
      </c>
      <c r="H819">
        <v>61</v>
      </c>
      <c r="I819">
        <v>70</v>
      </c>
      <c r="J819">
        <v>76</v>
      </c>
      <c r="K819">
        <f t="shared" si="12"/>
        <v>65.5</v>
      </c>
    </row>
    <row r="820" spans="1:11">
      <c r="A820" t="s">
        <v>11</v>
      </c>
      <c r="B820" t="s">
        <v>12</v>
      </c>
      <c r="C820" t="s">
        <v>39</v>
      </c>
      <c r="D820" t="s">
        <v>27</v>
      </c>
      <c r="E820" t="s">
        <v>15</v>
      </c>
      <c r="F820" s="5" t="s">
        <v>805</v>
      </c>
      <c r="G820">
        <v>23</v>
      </c>
      <c r="H820">
        <v>60</v>
      </c>
      <c r="I820">
        <v>72</v>
      </c>
      <c r="J820">
        <v>68</v>
      </c>
      <c r="K820">
        <f t="shared" si="12"/>
        <v>66</v>
      </c>
    </row>
    <row r="821" spans="1:11">
      <c r="A821" t="s">
        <v>11</v>
      </c>
      <c r="B821" t="s">
        <v>17</v>
      </c>
      <c r="C821" t="s">
        <v>50</v>
      </c>
      <c r="D821" t="s">
        <v>14</v>
      </c>
      <c r="E821" t="s">
        <v>15</v>
      </c>
      <c r="F821" s="5" t="s">
        <v>806</v>
      </c>
      <c r="G821">
        <v>5</v>
      </c>
      <c r="H821">
        <v>77</v>
      </c>
      <c r="I821">
        <v>91</v>
      </c>
      <c r="J821">
        <v>88</v>
      </c>
      <c r="K821">
        <f t="shared" si="12"/>
        <v>84</v>
      </c>
    </row>
    <row r="822" spans="1:11">
      <c r="A822" t="s">
        <v>11</v>
      </c>
      <c r="B822" t="s">
        <v>25</v>
      </c>
      <c r="C822" t="s">
        <v>50</v>
      </c>
      <c r="D822" t="s">
        <v>14</v>
      </c>
      <c r="E822" t="s">
        <v>19</v>
      </c>
      <c r="F822" s="5" t="s">
        <v>807</v>
      </c>
      <c r="G822">
        <v>7</v>
      </c>
      <c r="H822">
        <v>85</v>
      </c>
      <c r="I822">
        <v>90</v>
      </c>
      <c r="J822">
        <v>92</v>
      </c>
      <c r="K822">
        <f t="shared" si="12"/>
        <v>87.5</v>
      </c>
    </row>
    <row r="823" spans="1:11">
      <c r="A823" t="s">
        <v>11</v>
      </c>
      <c r="B823" t="s">
        <v>38</v>
      </c>
      <c r="C823" t="s">
        <v>13</v>
      </c>
      <c r="D823" t="s">
        <v>27</v>
      </c>
      <c r="E823" t="s">
        <v>15</v>
      </c>
      <c r="F823" s="5" t="s">
        <v>808</v>
      </c>
      <c r="G823">
        <v>12</v>
      </c>
      <c r="H823">
        <v>78</v>
      </c>
      <c r="I823">
        <v>90</v>
      </c>
      <c r="J823">
        <v>93</v>
      </c>
      <c r="K823">
        <f t="shared" si="12"/>
        <v>84</v>
      </c>
    </row>
    <row r="824" spans="1:11">
      <c r="A824" t="s">
        <v>24</v>
      </c>
      <c r="B824" t="s">
        <v>69</v>
      </c>
      <c r="C824" t="s">
        <v>18</v>
      </c>
      <c r="D824" t="s">
        <v>27</v>
      </c>
      <c r="E824" t="s">
        <v>19</v>
      </c>
      <c r="F824" s="5" t="s">
        <v>809</v>
      </c>
      <c r="G824">
        <v>16</v>
      </c>
      <c r="H824">
        <v>49</v>
      </c>
      <c r="I824">
        <v>52</v>
      </c>
      <c r="J824">
        <v>51</v>
      </c>
      <c r="K824">
        <f t="shared" si="12"/>
        <v>50.5</v>
      </c>
    </row>
    <row r="825" spans="1:11">
      <c r="A825" t="s">
        <v>11</v>
      </c>
      <c r="B825" t="s">
        <v>12</v>
      </c>
      <c r="C825" t="s">
        <v>39</v>
      </c>
      <c r="D825" t="s">
        <v>27</v>
      </c>
      <c r="E825" t="s">
        <v>15</v>
      </c>
      <c r="F825" s="5" t="s">
        <v>810</v>
      </c>
      <c r="G825">
        <v>19</v>
      </c>
      <c r="H825">
        <v>71</v>
      </c>
      <c r="I825">
        <v>87</v>
      </c>
      <c r="J825">
        <v>82</v>
      </c>
      <c r="K825">
        <f t="shared" si="12"/>
        <v>79</v>
      </c>
    </row>
    <row r="826" spans="1:11">
      <c r="A826" t="s">
        <v>11</v>
      </c>
      <c r="B826" t="s">
        <v>17</v>
      </c>
      <c r="C826" t="s">
        <v>50</v>
      </c>
      <c r="D826" t="s">
        <v>27</v>
      </c>
      <c r="E826" t="s">
        <v>15</v>
      </c>
      <c r="F826" s="5" t="s">
        <v>811</v>
      </c>
      <c r="G826">
        <v>29</v>
      </c>
      <c r="H826">
        <v>48</v>
      </c>
      <c r="I826">
        <v>58</v>
      </c>
      <c r="J826">
        <v>52</v>
      </c>
      <c r="K826">
        <f t="shared" si="12"/>
        <v>53</v>
      </c>
    </row>
    <row r="827" spans="1:11">
      <c r="A827" t="s">
        <v>24</v>
      </c>
      <c r="B827" t="s">
        <v>17</v>
      </c>
      <c r="C827" t="s">
        <v>39</v>
      </c>
      <c r="D827" t="s">
        <v>14</v>
      </c>
      <c r="E827" t="s">
        <v>15</v>
      </c>
      <c r="F827" s="5" t="s">
        <v>812</v>
      </c>
      <c r="G827">
        <v>8</v>
      </c>
      <c r="H827">
        <v>62</v>
      </c>
      <c r="I827">
        <v>67</v>
      </c>
      <c r="J827">
        <v>58</v>
      </c>
      <c r="K827">
        <f t="shared" si="12"/>
        <v>64.5</v>
      </c>
    </row>
    <row r="828" spans="1:11">
      <c r="A828" t="s">
        <v>11</v>
      </c>
      <c r="B828" t="s">
        <v>17</v>
      </c>
      <c r="C828" t="s">
        <v>26</v>
      </c>
      <c r="D828" t="s">
        <v>27</v>
      </c>
      <c r="E828" t="s">
        <v>19</v>
      </c>
      <c r="F828" s="5" t="s">
        <v>813</v>
      </c>
      <c r="G828">
        <v>13</v>
      </c>
      <c r="H828">
        <v>56</v>
      </c>
      <c r="I828">
        <v>68</v>
      </c>
      <c r="J828">
        <v>70</v>
      </c>
      <c r="K828">
        <f t="shared" si="12"/>
        <v>62</v>
      </c>
    </row>
    <row r="829" spans="1:11">
      <c r="A829" t="s">
        <v>11</v>
      </c>
      <c r="B829" t="s">
        <v>17</v>
      </c>
      <c r="C829" t="s">
        <v>50</v>
      </c>
      <c r="D829" t="s">
        <v>14</v>
      </c>
      <c r="E829" t="s">
        <v>15</v>
      </c>
      <c r="F829" s="5" t="s">
        <v>814</v>
      </c>
      <c r="G829">
        <v>1</v>
      </c>
      <c r="H829">
        <v>65</v>
      </c>
      <c r="I829">
        <v>69</v>
      </c>
      <c r="J829">
        <v>76</v>
      </c>
      <c r="K829">
        <f t="shared" si="12"/>
        <v>67</v>
      </c>
    </row>
    <row r="830" spans="1:11">
      <c r="A830" t="s">
        <v>11</v>
      </c>
      <c r="B830" t="s">
        <v>38</v>
      </c>
      <c r="C830" t="s">
        <v>50</v>
      </c>
      <c r="D830" t="s">
        <v>27</v>
      </c>
      <c r="E830" t="s">
        <v>19</v>
      </c>
      <c r="F830" s="5" t="s">
        <v>815</v>
      </c>
      <c r="G830">
        <v>27</v>
      </c>
      <c r="H830">
        <v>69</v>
      </c>
      <c r="I830">
        <v>86</v>
      </c>
      <c r="J830">
        <v>81</v>
      </c>
      <c r="K830">
        <f t="shared" si="12"/>
        <v>77.5</v>
      </c>
    </row>
    <row r="831" spans="1:11">
      <c r="A831" t="s">
        <v>24</v>
      </c>
      <c r="B831" t="s">
        <v>12</v>
      </c>
      <c r="C831" t="s">
        <v>50</v>
      </c>
      <c r="D831" t="s">
        <v>14</v>
      </c>
      <c r="E831" t="s">
        <v>15</v>
      </c>
      <c r="F831" s="5" t="s">
        <v>816</v>
      </c>
      <c r="G831">
        <v>23</v>
      </c>
      <c r="H831">
        <v>68</v>
      </c>
      <c r="I831">
        <v>54</v>
      </c>
      <c r="J831">
        <v>53</v>
      </c>
      <c r="K831">
        <f t="shared" si="12"/>
        <v>61</v>
      </c>
    </row>
    <row r="832" spans="1:11">
      <c r="A832" t="s">
        <v>11</v>
      </c>
      <c r="B832" t="s">
        <v>25</v>
      </c>
      <c r="C832" t="s">
        <v>18</v>
      </c>
      <c r="D832" t="s">
        <v>27</v>
      </c>
      <c r="E832" t="s">
        <v>15</v>
      </c>
      <c r="F832" s="5" t="s">
        <v>817</v>
      </c>
      <c r="G832">
        <v>12</v>
      </c>
      <c r="H832">
        <v>61</v>
      </c>
      <c r="I832">
        <v>60</v>
      </c>
      <c r="J832">
        <v>57</v>
      </c>
      <c r="K832">
        <f t="shared" si="12"/>
        <v>60.5</v>
      </c>
    </row>
    <row r="833" spans="1:11">
      <c r="A833" t="s">
        <v>11</v>
      </c>
      <c r="B833" t="s">
        <v>17</v>
      </c>
      <c r="C833" t="s">
        <v>13</v>
      </c>
      <c r="D833" t="s">
        <v>27</v>
      </c>
      <c r="E833" t="s">
        <v>19</v>
      </c>
      <c r="F833" s="5" t="s">
        <v>818</v>
      </c>
      <c r="G833">
        <v>16</v>
      </c>
      <c r="H833">
        <v>74</v>
      </c>
      <c r="I833">
        <v>86</v>
      </c>
      <c r="J833">
        <v>89</v>
      </c>
      <c r="K833">
        <f t="shared" si="12"/>
        <v>80</v>
      </c>
    </row>
    <row r="834" spans="1:11">
      <c r="A834" t="s">
        <v>24</v>
      </c>
      <c r="B834" t="s">
        <v>25</v>
      </c>
      <c r="C834" t="s">
        <v>13</v>
      </c>
      <c r="D834" t="s">
        <v>14</v>
      </c>
      <c r="E834" t="s">
        <v>15</v>
      </c>
      <c r="F834" s="5" t="s">
        <v>819</v>
      </c>
      <c r="G834">
        <v>14</v>
      </c>
      <c r="H834">
        <v>64</v>
      </c>
      <c r="I834">
        <v>60</v>
      </c>
      <c r="J834">
        <v>58</v>
      </c>
      <c r="K834">
        <f t="shared" si="12"/>
        <v>62</v>
      </c>
    </row>
    <row r="835" spans="1:11">
      <c r="A835" t="s">
        <v>11</v>
      </c>
      <c r="B835" t="s">
        <v>12</v>
      </c>
      <c r="C835" t="s">
        <v>39</v>
      </c>
      <c r="D835" t="s">
        <v>14</v>
      </c>
      <c r="E835" t="s">
        <v>19</v>
      </c>
      <c r="F835" s="5" t="s">
        <v>820</v>
      </c>
      <c r="G835">
        <v>20</v>
      </c>
      <c r="H835">
        <v>77</v>
      </c>
      <c r="I835">
        <v>82</v>
      </c>
      <c r="J835">
        <v>89</v>
      </c>
      <c r="K835">
        <f t="shared" ref="K835:K898" si="13">(H835+I835)/2</f>
        <v>79.5</v>
      </c>
    </row>
    <row r="836" spans="1:11">
      <c r="A836" t="s">
        <v>24</v>
      </c>
      <c r="B836" t="s">
        <v>12</v>
      </c>
      <c r="C836" t="s">
        <v>18</v>
      </c>
      <c r="D836" t="s">
        <v>14</v>
      </c>
      <c r="E836" t="s">
        <v>15</v>
      </c>
      <c r="F836" s="5" t="s">
        <v>821</v>
      </c>
      <c r="G836">
        <v>3</v>
      </c>
      <c r="H836">
        <v>58</v>
      </c>
      <c r="I836">
        <v>50</v>
      </c>
      <c r="J836">
        <v>45</v>
      </c>
      <c r="K836">
        <f t="shared" si="13"/>
        <v>54</v>
      </c>
    </row>
    <row r="837" spans="1:11">
      <c r="A837" t="s">
        <v>11</v>
      </c>
      <c r="B837" t="s">
        <v>17</v>
      </c>
      <c r="C837" t="s">
        <v>39</v>
      </c>
      <c r="D837" t="s">
        <v>14</v>
      </c>
      <c r="E837" t="s">
        <v>19</v>
      </c>
      <c r="F837" s="5" t="s">
        <v>822</v>
      </c>
      <c r="G837">
        <v>18</v>
      </c>
      <c r="H837">
        <v>60</v>
      </c>
      <c r="I837">
        <v>64</v>
      </c>
      <c r="J837">
        <v>74</v>
      </c>
      <c r="K837">
        <f t="shared" si="13"/>
        <v>62</v>
      </c>
    </row>
    <row r="838" spans="1:11">
      <c r="A838" t="s">
        <v>24</v>
      </c>
      <c r="B838" t="s">
        <v>69</v>
      </c>
      <c r="C838" t="s">
        <v>39</v>
      </c>
      <c r="D838" t="s">
        <v>14</v>
      </c>
      <c r="E838" t="s">
        <v>15</v>
      </c>
      <c r="F838" s="5" t="s">
        <v>823</v>
      </c>
      <c r="G838">
        <v>14</v>
      </c>
      <c r="H838">
        <v>73</v>
      </c>
      <c r="I838">
        <v>64</v>
      </c>
      <c r="J838">
        <v>57</v>
      </c>
      <c r="K838">
        <f t="shared" si="13"/>
        <v>68.5</v>
      </c>
    </row>
    <row r="839" spans="1:11">
      <c r="A839" t="s">
        <v>11</v>
      </c>
      <c r="B839" t="s">
        <v>25</v>
      </c>
      <c r="C839" t="s">
        <v>39</v>
      </c>
      <c r="D839" t="s">
        <v>14</v>
      </c>
      <c r="E839" t="s">
        <v>19</v>
      </c>
      <c r="F839" s="5" t="s">
        <v>824</v>
      </c>
      <c r="G839">
        <v>14</v>
      </c>
      <c r="H839">
        <v>75</v>
      </c>
      <c r="I839">
        <v>82</v>
      </c>
      <c r="J839">
        <v>79</v>
      </c>
      <c r="K839">
        <f t="shared" si="13"/>
        <v>78.5</v>
      </c>
    </row>
    <row r="840" spans="1:11">
      <c r="A840" t="s">
        <v>24</v>
      </c>
      <c r="B840" t="s">
        <v>12</v>
      </c>
      <c r="C840" t="s">
        <v>26</v>
      </c>
      <c r="D840" t="s">
        <v>27</v>
      </c>
      <c r="E840" t="s">
        <v>19</v>
      </c>
      <c r="F840" s="5" t="s">
        <v>825</v>
      </c>
      <c r="G840">
        <v>2</v>
      </c>
      <c r="H840">
        <v>58</v>
      </c>
      <c r="I840">
        <v>57</v>
      </c>
      <c r="J840">
        <v>53</v>
      </c>
      <c r="K840">
        <f t="shared" si="13"/>
        <v>57.5</v>
      </c>
    </row>
    <row r="841" spans="1:11">
      <c r="A841" t="s">
        <v>11</v>
      </c>
      <c r="B841" t="s">
        <v>17</v>
      </c>
      <c r="C841" t="s">
        <v>26</v>
      </c>
      <c r="D841" t="s">
        <v>14</v>
      </c>
      <c r="E841" t="s">
        <v>15</v>
      </c>
      <c r="F841" s="5" t="s">
        <v>826</v>
      </c>
      <c r="G841">
        <v>0</v>
      </c>
      <c r="H841">
        <v>66</v>
      </c>
      <c r="I841">
        <v>77</v>
      </c>
      <c r="J841">
        <v>73</v>
      </c>
      <c r="K841">
        <f t="shared" si="13"/>
        <v>71.5</v>
      </c>
    </row>
    <row r="842" spans="1:11">
      <c r="A842" t="s">
        <v>11</v>
      </c>
      <c r="B842" t="s">
        <v>38</v>
      </c>
      <c r="C842" t="s">
        <v>39</v>
      </c>
      <c r="D842" t="s">
        <v>27</v>
      </c>
      <c r="E842" t="s">
        <v>15</v>
      </c>
      <c r="F842" s="5" t="s">
        <v>827</v>
      </c>
      <c r="G842">
        <v>16</v>
      </c>
      <c r="H842">
        <v>39</v>
      </c>
      <c r="I842">
        <v>52</v>
      </c>
      <c r="J842">
        <v>46</v>
      </c>
      <c r="K842">
        <f t="shared" si="13"/>
        <v>45.5</v>
      </c>
    </row>
    <row r="843" spans="1:11">
      <c r="A843" t="s">
        <v>24</v>
      </c>
      <c r="B843" t="s">
        <v>17</v>
      </c>
      <c r="C843" t="s">
        <v>50</v>
      </c>
      <c r="D843" t="s">
        <v>14</v>
      </c>
      <c r="E843" t="s">
        <v>15</v>
      </c>
      <c r="F843" s="5" t="s">
        <v>828</v>
      </c>
      <c r="G843">
        <v>27</v>
      </c>
      <c r="H843">
        <v>64</v>
      </c>
      <c r="I843">
        <v>58</v>
      </c>
      <c r="J843">
        <v>51</v>
      </c>
      <c r="K843">
        <f t="shared" si="13"/>
        <v>61</v>
      </c>
    </row>
    <row r="844" spans="1:11">
      <c r="A844" t="s">
        <v>11</v>
      </c>
      <c r="B844" t="s">
        <v>12</v>
      </c>
      <c r="C844" t="s">
        <v>39</v>
      </c>
      <c r="D844" t="s">
        <v>27</v>
      </c>
      <c r="E844" t="s">
        <v>19</v>
      </c>
      <c r="F844" s="5" t="s">
        <v>829</v>
      </c>
      <c r="G844">
        <v>24</v>
      </c>
      <c r="H844">
        <v>23</v>
      </c>
      <c r="I844">
        <v>44</v>
      </c>
      <c r="J844">
        <v>36</v>
      </c>
      <c r="K844">
        <f t="shared" si="13"/>
        <v>33.5</v>
      </c>
    </row>
    <row r="845" spans="1:11">
      <c r="A845" t="s">
        <v>24</v>
      </c>
      <c r="B845" t="s">
        <v>12</v>
      </c>
      <c r="C845" t="s">
        <v>18</v>
      </c>
      <c r="D845" t="s">
        <v>27</v>
      </c>
      <c r="E845" t="s">
        <v>19</v>
      </c>
      <c r="F845" s="5" t="s">
        <v>830</v>
      </c>
      <c r="G845">
        <v>7</v>
      </c>
      <c r="H845">
        <v>74</v>
      </c>
      <c r="I845">
        <v>77</v>
      </c>
      <c r="J845">
        <v>76</v>
      </c>
      <c r="K845">
        <f t="shared" si="13"/>
        <v>75.5</v>
      </c>
    </row>
    <row r="846" spans="1:11">
      <c r="A846" t="s">
        <v>11</v>
      </c>
      <c r="B846" t="s">
        <v>38</v>
      </c>
      <c r="C846" t="s">
        <v>50</v>
      </c>
      <c r="D846" t="s">
        <v>27</v>
      </c>
      <c r="E846" t="s">
        <v>19</v>
      </c>
      <c r="F846" s="5" t="s">
        <v>831</v>
      </c>
      <c r="G846">
        <v>26</v>
      </c>
      <c r="H846">
        <v>40</v>
      </c>
      <c r="I846">
        <v>65</v>
      </c>
      <c r="J846">
        <v>64</v>
      </c>
      <c r="K846">
        <f t="shared" si="13"/>
        <v>52.5</v>
      </c>
    </row>
    <row r="847" spans="1:11">
      <c r="A847" t="s">
        <v>24</v>
      </c>
      <c r="B847" t="s">
        <v>69</v>
      </c>
      <c r="C847" t="s">
        <v>22</v>
      </c>
      <c r="D847" t="s">
        <v>14</v>
      </c>
      <c r="E847" t="s">
        <v>15</v>
      </c>
      <c r="F847" s="5" t="s">
        <v>832</v>
      </c>
      <c r="G847">
        <v>0</v>
      </c>
      <c r="H847">
        <v>90</v>
      </c>
      <c r="I847">
        <v>85</v>
      </c>
      <c r="J847">
        <v>84</v>
      </c>
      <c r="K847">
        <f t="shared" si="13"/>
        <v>87.5</v>
      </c>
    </row>
    <row r="848" spans="1:11">
      <c r="A848" t="s">
        <v>24</v>
      </c>
      <c r="B848" t="s">
        <v>17</v>
      </c>
      <c r="C848" t="s">
        <v>22</v>
      </c>
      <c r="D848" t="s">
        <v>14</v>
      </c>
      <c r="E848" t="s">
        <v>19</v>
      </c>
      <c r="F848" s="5" t="s">
        <v>833</v>
      </c>
      <c r="G848">
        <v>22</v>
      </c>
      <c r="H848">
        <v>91</v>
      </c>
      <c r="I848">
        <v>85</v>
      </c>
      <c r="J848">
        <v>85</v>
      </c>
      <c r="K848">
        <f t="shared" si="13"/>
        <v>88</v>
      </c>
    </row>
    <row r="849" spans="1:11">
      <c r="A849" t="s">
        <v>24</v>
      </c>
      <c r="B849" t="s">
        <v>38</v>
      </c>
      <c r="C849" t="s">
        <v>39</v>
      </c>
      <c r="D849" t="s">
        <v>14</v>
      </c>
      <c r="E849" t="s">
        <v>15</v>
      </c>
      <c r="F849" s="5" t="s">
        <v>834</v>
      </c>
      <c r="G849">
        <v>1</v>
      </c>
      <c r="H849">
        <v>64</v>
      </c>
      <c r="I849">
        <v>54</v>
      </c>
      <c r="J849">
        <v>50</v>
      </c>
      <c r="K849">
        <f t="shared" si="13"/>
        <v>59</v>
      </c>
    </row>
    <row r="850" spans="1:11">
      <c r="A850" t="s">
        <v>11</v>
      </c>
      <c r="B850" t="s">
        <v>17</v>
      </c>
      <c r="C850" t="s">
        <v>39</v>
      </c>
      <c r="D850" t="s">
        <v>14</v>
      </c>
      <c r="E850" t="s">
        <v>15</v>
      </c>
      <c r="F850" s="5" t="s">
        <v>835</v>
      </c>
      <c r="G850">
        <v>29</v>
      </c>
      <c r="H850">
        <v>59</v>
      </c>
      <c r="I850">
        <v>72</v>
      </c>
      <c r="J850">
        <v>68</v>
      </c>
      <c r="K850">
        <f t="shared" si="13"/>
        <v>65.5</v>
      </c>
    </row>
    <row r="851" spans="1:11">
      <c r="A851" t="s">
        <v>24</v>
      </c>
      <c r="B851" t="s">
        <v>38</v>
      </c>
      <c r="C851" t="s">
        <v>26</v>
      </c>
      <c r="D851" t="s">
        <v>14</v>
      </c>
      <c r="E851" t="s">
        <v>15</v>
      </c>
      <c r="F851">
        <v>1.5790222E-2</v>
      </c>
      <c r="G851">
        <v>24</v>
      </c>
      <c r="H851">
        <v>80</v>
      </c>
      <c r="I851">
        <v>75</v>
      </c>
      <c r="J851">
        <v>69</v>
      </c>
      <c r="K851">
        <f t="shared" si="13"/>
        <v>77.5</v>
      </c>
    </row>
    <row r="852" spans="1:11">
      <c r="A852" t="s">
        <v>24</v>
      </c>
      <c r="B852" t="s">
        <v>17</v>
      </c>
      <c r="C852" t="s">
        <v>22</v>
      </c>
      <c r="D852" t="s">
        <v>14</v>
      </c>
      <c r="E852" t="s">
        <v>15</v>
      </c>
      <c r="F852">
        <v>9.3569836659999996</v>
      </c>
      <c r="G852">
        <v>21</v>
      </c>
      <c r="H852">
        <v>71</v>
      </c>
      <c r="I852">
        <v>67</v>
      </c>
      <c r="J852">
        <v>67</v>
      </c>
      <c r="K852">
        <f t="shared" si="13"/>
        <v>69</v>
      </c>
    </row>
    <row r="853" spans="1:11">
      <c r="A853" t="s">
        <v>11</v>
      </c>
      <c r="B853" t="s">
        <v>25</v>
      </c>
      <c r="C853" t="s">
        <v>39</v>
      </c>
      <c r="D853" t="s">
        <v>14</v>
      </c>
      <c r="E853" t="s">
        <v>15</v>
      </c>
      <c r="F853" s="5" t="s">
        <v>836</v>
      </c>
      <c r="G853">
        <v>15</v>
      </c>
      <c r="H853">
        <v>61</v>
      </c>
      <c r="I853">
        <v>68</v>
      </c>
      <c r="J853">
        <v>63</v>
      </c>
      <c r="K853">
        <f t="shared" si="13"/>
        <v>64.5</v>
      </c>
    </row>
    <row r="854" spans="1:11">
      <c r="A854" t="s">
        <v>11</v>
      </c>
      <c r="B854" t="s">
        <v>69</v>
      </c>
      <c r="C854" t="s">
        <v>18</v>
      </c>
      <c r="D854" t="s">
        <v>14</v>
      </c>
      <c r="E854" t="s">
        <v>15</v>
      </c>
      <c r="F854" s="5" t="s">
        <v>837</v>
      </c>
      <c r="G854">
        <v>8</v>
      </c>
      <c r="H854">
        <v>87</v>
      </c>
      <c r="I854">
        <v>85</v>
      </c>
      <c r="J854">
        <v>93</v>
      </c>
      <c r="K854">
        <f t="shared" si="13"/>
        <v>86</v>
      </c>
    </row>
    <row r="855" spans="1:11">
      <c r="A855" t="s">
        <v>24</v>
      </c>
      <c r="B855" t="s">
        <v>69</v>
      </c>
      <c r="C855" t="s">
        <v>50</v>
      </c>
      <c r="D855" t="s">
        <v>14</v>
      </c>
      <c r="E855" t="s">
        <v>15</v>
      </c>
      <c r="F855" s="5" t="s">
        <v>838</v>
      </c>
      <c r="G855">
        <v>9</v>
      </c>
      <c r="H855">
        <v>82</v>
      </c>
      <c r="I855">
        <v>67</v>
      </c>
      <c r="J855">
        <v>61</v>
      </c>
      <c r="K855">
        <f t="shared" si="13"/>
        <v>74.5</v>
      </c>
    </row>
    <row r="856" spans="1:11">
      <c r="A856" t="s">
        <v>24</v>
      </c>
      <c r="B856" t="s">
        <v>17</v>
      </c>
      <c r="C856" t="s">
        <v>50</v>
      </c>
      <c r="D856" t="s">
        <v>14</v>
      </c>
      <c r="E856" t="s">
        <v>15</v>
      </c>
      <c r="F856" s="5" t="s">
        <v>839</v>
      </c>
      <c r="G856">
        <v>18</v>
      </c>
      <c r="H856">
        <v>62</v>
      </c>
      <c r="I856">
        <v>64</v>
      </c>
      <c r="J856">
        <v>55</v>
      </c>
      <c r="K856">
        <f t="shared" si="13"/>
        <v>63</v>
      </c>
    </row>
    <row r="857" spans="1:11">
      <c r="A857" t="s">
        <v>11</v>
      </c>
      <c r="B857" t="s">
        <v>12</v>
      </c>
      <c r="C857" t="s">
        <v>13</v>
      </c>
      <c r="D857" t="s">
        <v>14</v>
      </c>
      <c r="E857" t="s">
        <v>15</v>
      </c>
      <c r="F857" s="5" t="s">
        <v>840</v>
      </c>
      <c r="G857">
        <v>18</v>
      </c>
      <c r="H857">
        <v>97</v>
      </c>
      <c r="I857">
        <v>97</v>
      </c>
      <c r="J857">
        <v>96</v>
      </c>
      <c r="K857">
        <f t="shared" si="13"/>
        <v>97</v>
      </c>
    </row>
    <row r="858" spans="1:11">
      <c r="A858" t="s">
        <v>24</v>
      </c>
      <c r="B858" t="s">
        <v>12</v>
      </c>
      <c r="C858" t="s">
        <v>18</v>
      </c>
      <c r="D858" t="s">
        <v>27</v>
      </c>
      <c r="E858" t="s">
        <v>15</v>
      </c>
      <c r="F858" s="5" t="s">
        <v>841</v>
      </c>
      <c r="G858">
        <v>24</v>
      </c>
      <c r="H858">
        <v>75</v>
      </c>
      <c r="I858">
        <v>68</v>
      </c>
      <c r="J858">
        <v>65</v>
      </c>
      <c r="K858">
        <f t="shared" si="13"/>
        <v>71.5</v>
      </c>
    </row>
    <row r="859" spans="1:11">
      <c r="A859" t="s">
        <v>11</v>
      </c>
      <c r="B859" t="s">
        <v>17</v>
      </c>
      <c r="C859" t="s">
        <v>13</v>
      </c>
      <c r="D859" t="s">
        <v>14</v>
      </c>
      <c r="E859" t="s">
        <v>15</v>
      </c>
      <c r="F859" s="5" t="s">
        <v>842</v>
      </c>
      <c r="G859">
        <v>7</v>
      </c>
      <c r="H859">
        <v>65</v>
      </c>
      <c r="I859">
        <v>79</v>
      </c>
      <c r="J859">
        <v>81</v>
      </c>
      <c r="K859">
        <f t="shared" si="13"/>
        <v>72</v>
      </c>
    </row>
    <row r="860" spans="1:11">
      <c r="A860" t="s">
        <v>24</v>
      </c>
      <c r="B860" t="s">
        <v>12</v>
      </c>
      <c r="C860" t="s">
        <v>39</v>
      </c>
      <c r="D860" t="s">
        <v>14</v>
      </c>
      <c r="E860" t="s">
        <v>19</v>
      </c>
      <c r="F860" s="5" t="s">
        <v>843</v>
      </c>
      <c r="G860">
        <v>18</v>
      </c>
      <c r="H860">
        <v>52</v>
      </c>
      <c r="I860">
        <v>49</v>
      </c>
      <c r="J860">
        <v>46</v>
      </c>
      <c r="K860">
        <f t="shared" si="13"/>
        <v>50.5</v>
      </c>
    </row>
    <row r="861" spans="1:11">
      <c r="A861" t="s">
        <v>24</v>
      </c>
      <c r="B861" t="s">
        <v>17</v>
      </c>
      <c r="C861" t="s">
        <v>26</v>
      </c>
      <c r="D861" t="s">
        <v>27</v>
      </c>
      <c r="E861" t="s">
        <v>15</v>
      </c>
      <c r="F861" s="5" t="s">
        <v>844</v>
      </c>
      <c r="G861">
        <v>18</v>
      </c>
      <c r="H861">
        <v>87</v>
      </c>
      <c r="I861">
        <v>73</v>
      </c>
      <c r="J861">
        <v>72</v>
      </c>
      <c r="K861">
        <f t="shared" si="13"/>
        <v>80</v>
      </c>
    </row>
    <row r="862" spans="1:11">
      <c r="A862" t="s">
        <v>11</v>
      </c>
      <c r="B862" t="s">
        <v>17</v>
      </c>
      <c r="C862" t="s">
        <v>26</v>
      </c>
      <c r="D862" t="s">
        <v>14</v>
      </c>
      <c r="E862" t="s">
        <v>15</v>
      </c>
      <c r="F862" s="5" t="s">
        <v>845</v>
      </c>
      <c r="G862">
        <v>9</v>
      </c>
      <c r="H862">
        <v>53</v>
      </c>
      <c r="I862">
        <v>62</v>
      </c>
      <c r="J862">
        <v>53</v>
      </c>
      <c r="K862">
        <f t="shared" si="13"/>
        <v>57.5</v>
      </c>
    </row>
    <row r="863" spans="1:11">
      <c r="A863" t="s">
        <v>11</v>
      </c>
      <c r="B863" t="s">
        <v>69</v>
      </c>
      <c r="C863" t="s">
        <v>22</v>
      </c>
      <c r="D863" t="s">
        <v>27</v>
      </c>
      <c r="E863" t="s">
        <v>15</v>
      </c>
      <c r="F863" s="5" t="s">
        <v>846</v>
      </c>
      <c r="G863">
        <v>8</v>
      </c>
      <c r="H863">
        <v>81</v>
      </c>
      <c r="I863">
        <v>86</v>
      </c>
      <c r="J863">
        <v>87</v>
      </c>
      <c r="K863">
        <f t="shared" si="13"/>
        <v>83.5</v>
      </c>
    </row>
    <row r="864" spans="1:11">
      <c r="A864" t="s">
        <v>24</v>
      </c>
      <c r="B864" t="s">
        <v>38</v>
      </c>
      <c r="C864" t="s">
        <v>13</v>
      </c>
      <c r="D864" t="s">
        <v>27</v>
      </c>
      <c r="E864" t="s">
        <v>19</v>
      </c>
      <c r="F864" s="5" t="s">
        <v>847</v>
      </c>
      <c r="G864">
        <v>14</v>
      </c>
      <c r="H864">
        <v>39</v>
      </c>
      <c r="I864">
        <v>42</v>
      </c>
      <c r="J864">
        <v>38</v>
      </c>
      <c r="K864">
        <f t="shared" si="13"/>
        <v>40.5</v>
      </c>
    </row>
    <row r="865" spans="1:11">
      <c r="A865" t="s">
        <v>11</v>
      </c>
      <c r="B865" t="s">
        <v>17</v>
      </c>
      <c r="C865" t="s">
        <v>18</v>
      </c>
      <c r="D865" t="s">
        <v>14</v>
      </c>
      <c r="E865" t="s">
        <v>19</v>
      </c>
      <c r="F865" s="5" t="s">
        <v>848</v>
      </c>
      <c r="G865">
        <v>25</v>
      </c>
      <c r="H865">
        <v>71</v>
      </c>
      <c r="I865">
        <v>71</v>
      </c>
      <c r="J865">
        <v>80</v>
      </c>
      <c r="K865">
        <f t="shared" si="13"/>
        <v>71</v>
      </c>
    </row>
    <row r="866" spans="1:11">
      <c r="A866" t="s">
        <v>24</v>
      </c>
      <c r="B866" t="s">
        <v>17</v>
      </c>
      <c r="C866" t="s">
        <v>26</v>
      </c>
      <c r="D866" t="s">
        <v>14</v>
      </c>
      <c r="E866" t="s">
        <v>15</v>
      </c>
      <c r="F866" s="5" t="s">
        <v>849</v>
      </c>
      <c r="G866">
        <v>15</v>
      </c>
      <c r="H866">
        <v>97</v>
      </c>
      <c r="I866">
        <v>93</v>
      </c>
      <c r="J866">
        <v>91</v>
      </c>
      <c r="K866">
        <f t="shared" si="13"/>
        <v>95</v>
      </c>
    </row>
    <row r="867" spans="1:11">
      <c r="A867" t="s">
        <v>24</v>
      </c>
      <c r="B867" t="s">
        <v>38</v>
      </c>
      <c r="C867" t="s">
        <v>18</v>
      </c>
      <c r="D867" t="s">
        <v>14</v>
      </c>
      <c r="E867" t="s">
        <v>19</v>
      </c>
      <c r="F867" s="5" t="s">
        <v>850</v>
      </c>
      <c r="G867">
        <v>11</v>
      </c>
      <c r="H867">
        <v>82</v>
      </c>
      <c r="I867">
        <v>82</v>
      </c>
      <c r="J867">
        <v>88</v>
      </c>
      <c r="K867">
        <f t="shared" si="13"/>
        <v>82</v>
      </c>
    </row>
    <row r="868" spans="1:11">
      <c r="A868" t="s">
        <v>24</v>
      </c>
      <c r="B868" t="s">
        <v>17</v>
      </c>
      <c r="C868" t="s">
        <v>39</v>
      </c>
      <c r="D868" t="s">
        <v>27</v>
      </c>
      <c r="E868" t="s">
        <v>15</v>
      </c>
      <c r="F868" s="5" t="s">
        <v>851</v>
      </c>
      <c r="G868">
        <v>27</v>
      </c>
      <c r="H868">
        <v>59</v>
      </c>
      <c r="I868">
        <v>53</v>
      </c>
      <c r="J868">
        <v>52</v>
      </c>
      <c r="K868">
        <f t="shared" si="13"/>
        <v>56</v>
      </c>
    </row>
    <row r="869" spans="1:11">
      <c r="A869" t="s">
        <v>24</v>
      </c>
      <c r="B869" t="s">
        <v>12</v>
      </c>
      <c r="C869" t="s">
        <v>26</v>
      </c>
      <c r="D869" t="s">
        <v>14</v>
      </c>
      <c r="E869" t="s">
        <v>15</v>
      </c>
      <c r="F869" s="5" t="s">
        <v>852</v>
      </c>
      <c r="G869">
        <v>29</v>
      </c>
      <c r="H869">
        <v>61</v>
      </c>
      <c r="I869">
        <v>42</v>
      </c>
      <c r="J869">
        <v>41</v>
      </c>
      <c r="K869">
        <f t="shared" si="13"/>
        <v>51.5</v>
      </c>
    </row>
    <row r="870" spans="1:11">
      <c r="A870" t="s">
        <v>24</v>
      </c>
      <c r="B870" t="s">
        <v>69</v>
      </c>
      <c r="C870" t="s">
        <v>26</v>
      </c>
      <c r="D870" t="s">
        <v>27</v>
      </c>
      <c r="E870" t="s">
        <v>19</v>
      </c>
      <c r="F870" s="5" t="s">
        <v>853</v>
      </c>
      <c r="G870">
        <v>9</v>
      </c>
      <c r="H870">
        <v>78</v>
      </c>
      <c r="I870">
        <v>74</v>
      </c>
      <c r="J870">
        <v>72</v>
      </c>
      <c r="K870">
        <f t="shared" si="13"/>
        <v>76</v>
      </c>
    </row>
    <row r="871" spans="1:11">
      <c r="A871" t="s">
        <v>24</v>
      </c>
      <c r="B871" t="s">
        <v>17</v>
      </c>
      <c r="C871" t="s">
        <v>26</v>
      </c>
      <c r="D871" t="s">
        <v>27</v>
      </c>
      <c r="E871" t="s">
        <v>15</v>
      </c>
      <c r="F871" s="5" t="s">
        <v>854</v>
      </c>
      <c r="G871">
        <v>10</v>
      </c>
      <c r="H871">
        <v>49</v>
      </c>
      <c r="I871">
        <v>51</v>
      </c>
      <c r="J871">
        <v>51</v>
      </c>
      <c r="K871">
        <f t="shared" si="13"/>
        <v>50</v>
      </c>
    </row>
    <row r="872" spans="1:11">
      <c r="A872" t="s">
        <v>24</v>
      </c>
      <c r="B872" t="s">
        <v>12</v>
      </c>
      <c r="C872" t="s">
        <v>39</v>
      </c>
      <c r="D872" t="s">
        <v>14</v>
      </c>
      <c r="E872" t="s">
        <v>15</v>
      </c>
      <c r="F872" s="5" t="s">
        <v>855</v>
      </c>
      <c r="G872">
        <v>5</v>
      </c>
      <c r="H872">
        <v>59</v>
      </c>
      <c r="I872">
        <v>58</v>
      </c>
      <c r="J872">
        <v>47</v>
      </c>
      <c r="K872">
        <f t="shared" si="13"/>
        <v>58.5</v>
      </c>
    </row>
    <row r="873" spans="1:11">
      <c r="A873" t="s">
        <v>11</v>
      </c>
      <c r="B873" t="s">
        <v>17</v>
      </c>
      <c r="C873" t="s">
        <v>18</v>
      </c>
      <c r="D873" t="s">
        <v>14</v>
      </c>
      <c r="E873" t="s">
        <v>19</v>
      </c>
      <c r="F873" s="5" t="s">
        <v>856</v>
      </c>
      <c r="G873">
        <v>3</v>
      </c>
      <c r="H873">
        <v>70</v>
      </c>
      <c r="I873">
        <v>72</v>
      </c>
      <c r="J873">
        <v>76</v>
      </c>
      <c r="K873">
        <f t="shared" si="13"/>
        <v>71</v>
      </c>
    </row>
    <row r="874" spans="1:11">
      <c r="A874" t="s">
        <v>24</v>
      </c>
      <c r="B874" t="s">
        <v>12</v>
      </c>
      <c r="C874" t="s">
        <v>26</v>
      </c>
      <c r="D874" t="s">
        <v>14</v>
      </c>
      <c r="E874" t="s">
        <v>19</v>
      </c>
      <c r="F874" s="5" t="s">
        <v>857</v>
      </c>
      <c r="G874">
        <v>2</v>
      </c>
      <c r="H874">
        <v>82</v>
      </c>
      <c r="I874">
        <v>84</v>
      </c>
      <c r="J874">
        <v>78</v>
      </c>
      <c r="K874">
        <f t="shared" si="13"/>
        <v>83</v>
      </c>
    </row>
    <row r="875" spans="1:11">
      <c r="A875" t="s">
        <v>24</v>
      </c>
      <c r="B875" t="s">
        <v>69</v>
      </c>
      <c r="C875" t="s">
        <v>26</v>
      </c>
      <c r="D875" t="s">
        <v>27</v>
      </c>
      <c r="E875" t="s">
        <v>15</v>
      </c>
      <c r="F875" s="5" t="s">
        <v>858</v>
      </c>
      <c r="G875">
        <v>19</v>
      </c>
      <c r="H875">
        <v>90</v>
      </c>
      <c r="I875">
        <v>90</v>
      </c>
      <c r="J875">
        <v>82</v>
      </c>
      <c r="K875">
        <f t="shared" si="13"/>
        <v>90</v>
      </c>
    </row>
    <row r="876" spans="1:11">
      <c r="A876" t="s">
        <v>11</v>
      </c>
      <c r="B876" t="s">
        <v>17</v>
      </c>
      <c r="C876" t="s">
        <v>13</v>
      </c>
      <c r="D876" t="s">
        <v>27</v>
      </c>
      <c r="E876" t="s">
        <v>15</v>
      </c>
      <c r="F876">
        <v>8.5745028350000005</v>
      </c>
      <c r="G876">
        <v>16</v>
      </c>
      <c r="H876">
        <v>43</v>
      </c>
      <c r="I876">
        <v>62</v>
      </c>
      <c r="J876">
        <v>61</v>
      </c>
      <c r="K876">
        <f t="shared" si="13"/>
        <v>52.5</v>
      </c>
    </row>
    <row r="877" spans="1:11">
      <c r="A877" t="s">
        <v>24</v>
      </c>
      <c r="B877" t="s">
        <v>17</v>
      </c>
      <c r="C877" t="s">
        <v>18</v>
      </c>
      <c r="D877" t="s">
        <v>27</v>
      </c>
      <c r="E877" t="s">
        <v>15</v>
      </c>
      <c r="F877" s="5" t="s">
        <v>859</v>
      </c>
      <c r="G877">
        <v>11</v>
      </c>
      <c r="H877">
        <v>80</v>
      </c>
      <c r="I877">
        <v>64</v>
      </c>
      <c r="J877">
        <v>66</v>
      </c>
      <c r="K877">
        <f t="shared" si="13"/>
        <v>72</v>
      </c>
    </row>
    <row r="878" spans="1:11">
      <c r="A878" t="s">
        <v>24</v>
      </c>
      <c r="B878" t="s">
        <v>38</v>
      </c>
      <c r="C878" t="s">
        <v>18</v>
      </c>
      <c r="D878" t="s">
        <v>14</v>
      </c>
      <c r="E878" t="s">
        <v>15</v>
      </c>
      <c r="F878" s="5" t="s">
        <v>860</v>
      </c>
      <c r="G878">
        <v>4</v>
      </c>
      <c r="H878">
        <v>81</v>
      </c>
      <c r="I878">
        <v>82</v>
      </c>
      <c r="J878">
        <v>84</v>
      </c>
      <c r="K878">
        <f t="shared" si="13"/>
        <v>81.5</v>
      </c>
    </row>
    <row r="879" spans="1:11">
      <c r="A879" t="s">
        <v>24</v>
      </c>
      <c r="B879" t="s">
        <v>17</v>
      </c>
      <c r="C879" t="s">
        <v>50</v>
      </c>
      <c r="D879" t="s">
        <v>14</v>
      </c>
      <c r="E879" t="s">
        <v>15</v>
      </c>
      <c r="F879" s="5" t="s">
        <v>861</v>
      </c>
      <c r="G879">
        <v>1</v>
      </c>
      <c r="H879">
        <v>57</v>
      </c>
      <c r="I879">
        <v>61</v>
      </c>
      <c r="J879">
        <v>54</v>
      </c>
      <c r="K879">
        <f t="shared" si="13"/>
        <v>59</v>
      </c>
    </row>
    <row r="880" spans="1:11">
      <c r="A880" t="s">
        <v>11</v>
      </c>
      <c r="B880" t="s">
        <v>38</v>
      </c>
      <c r="C880" t="s">
        <v>50</v>
      </c>
      <c r="D880" t="s">
        <v>14</v>
      </c>
      <c r="E880" t="s">
        <v>15</v>
      </c>
      <c r="F880" s="5" t="s">
        <v>862</v>
      </c>
      <c r="G880">
        <v>12</v>
      </c>
      <c r="H880">
        <v>59</v>
      </c>
      <c r="I880">
        <v>72</v>
      </c>
      <c r="J880">
        <v>80</v>
      </c>
      <c r="K880">
        <f t="shared" si="13"/>
        <v>65.5</v>
      </c>
    </row>
    <row r="881" spans="1:11">
      <c r="A881" t="s">
        <v>11</v>
      </c>
      <c r="B881" t="s">
        <v>38</v>
      </c>
      <c r="C881" t="s">
        <v>26</v>
      </c>
      <c r="D881" t="s">
        <v>14</v>
      </c>
      <c r="E881" t="s">
        <v>15</v>
      </c>
      <c r="F881" s="5" t="s">
        <v>863</v>
      </c>
      <c r="G881">
        <v>28</v>
      </c>
      <c r="H881">
        <v>64</v>
      </c>
      <c r="I881">
        <v>76</v>
      </c>
      <c r="J881">
        <v>74</v>
      </c>
      <c r="K881">
        <f t="shared" si="13"/>
        <v>70</v>
      </c>
    </row>
    <row r="882" spans="1:11">
      <c r="A882" t="s">
        <v>24</v>
      </c>
      <c r="B882" t="s">
        <v>17</v>
      </c>
      <c r="C882" t="s">
        <v>13</v>
      </c>
      <c r="D882" t="s">
        <v>14</v>
      </c>
      <c r="E882" t="s">
        <v>19</v>
      </c>
      <c r="F882" s="5" t="s">
        <v>864</v>
      </c>
      <c r="G882">
        <v>26</v>
      </c>
      <c r="H882">
        <v>63</v>
      </c>
      <c r="I882">
        <v>64</v>
      </c>
      <c r="J882">
        <v>66</v>
      </c>
      <c r="K882">
        <f t="shared" si="13"/>
        <v>63.5</v>
      </c>
    </row>
    <row r="883" spans="1:11">
      <c r="A883" t="s">
        <v>11</v>
      </c>
      <c r="B883" t="s">
        <v>69</v>
      </c>
      <c r="C883" t="s">
        <v>13</v>
      </c>
      <c r="D883" t="s">
        <v>14</v>
      </c>
      <c r="E883" t="s">
        <v>19</v>
      </c>
      <c r="F883" s="5" t="s">
        <v>865</v>
      </c>
      <c r="G883">
        <v>14</v>
      </c>
      <c r="H883">
        <v>71</v>
      </c>
      <c r="I883">
        <v>70</v>
      </c>
      <c r="J883">
        <v>70</v>
      </c>
      <c r="K883">
        <f t="shared" si="13"/>
        <v>70.5</v>
      </c>
    </row>
    <row r="884" spans="1:11">
      <c r="A884" t="s">
        <v>11</v>
      </c>
      <c r="B884" t="s">
        <v>12</v>
      </c>
      <c r="C884" t="s">
        <v>39</v>
      </c>
      <c r="D884" t="s">
        <v>27</v>
      </c>
      <c r="E884" t="s">
        <v>15</v>
      </c>
      <c r="F884" s="5" t="s">
        <v>866</v>
      </c>
      <c r="G884">
        <v>14</v>
      </c>
      <c r="H884">
        <v>64</v>
      </c>
      <c r="I884">
        <v>73</v>
      </c>
      <c r="J884">
        <v>71</v>
      </c>
      <c r="K884">
        <f t="shared" si="13"/>
        <v>68.5</v>
      </c>
    </row>
    <row r="885" spans="1:11">
      <c r="A885" t="s">
        <v>24</v>
      </c>
      <c r="B885" t="s">
        <v>38</v>
      </c>
      <c r="C885" t="s">
        <v>13</v>
      </c>
      <c r="D885" t="s">
        <v>27</v>
      </c>
      <c r="E885" t="s">
        <v>15</v>
      </c>
      <c r="F885" s="5" t="s">
        <v>867</v>
      </c>
      <c r="G885">
        <v>29</v>
      </c>
      <c r="H885">
        <v>55</v>
      </c>
      <c r="I885">
        <v>46</v>
      </c>
      <c r="J885">
        <v>44</v>
      </c>
      <c r="K885">
        <f t="shared" si="13"/>
        <v>50.5</v>
      </c>
    </row>
    <row r="886" spans="1:11">
      <c r="A886" t="s">
        <v>11</v>
      </c>
      <c r="B886" t="s">
        <v>69</v>
      </c>
      <c r="C886" t="s">
        <v>26</v>
      </c>
      <c r="D886" t="s">
        <v>14</v>
      </c>
      <c r="E886" t="s">
        <v>15</v>
      </c>
      <c r="F886" s="5" t="s">
        <v>868</v>
      </c>
      <c r="G886">
        <v>23</v>
      </c>
      <c r="H886">
        <v>51</v>
      </c>
      <c r="I886">
        <v>51</v>
      </c>
      <c r="J886">
        <v>54</v>
      </c>
      <c r="K886">
        <f t="shared" si="13"/>
        <v>51</v>
      </c>
    </row>
    <row r="887" spans="1:11">
      <c r="A887" t="s">
        <v>11</v>
      </c>
      <c r="B887" t="s">
        <v>17</v>
      </c>
      <c r="C887" t="s">
        <v>26</v>
      </c>
      <c r="D887" t="s">
        <v>14</v>
      </c>
      <c r="E887" t="s">
        <v>19</v>
      </c>
      <c r="F887" s="5" t="s">
        <v>869</v>
      </c>
      <c r="G887">
        <v>24</v>
      </c>
      <c r="H887">
        <v>62</v>
      </c>
      <c r="I887">
        <v>76</v>
      </c>
      <c r="J887">
        <v>80</v>
      </c>
      <c r="K887">
        <f t="shared" si="13"/>
        <v>69</v>
      </c>
    </row>
    <row r="888" spans="1:11">
      <c r="A888" t="s">
        <v>11</v>
      </c>
      <c r="B888" t="s">
        <v>69</v>
      </c>
      <c r="C888" t="s">
        <v>26</v>
      </c>
      <c r="D888" t="s">
        <v>14</v>
      </c>
      <c r="E888" t="s">
        <v>19</v>
      </c>
      <c r="F888" s="5" t="s">
        <v>870</v>
      </c>
      <c r="G888">
        <v>13</v>
      </c>
      <c r="H888">
        <v>93</v>
      </c>
      <c r="I888">
        <v>100</v>
      </c>
      <c r="J888">
        <v>95</v>
      </c>
      <c r="K888">
        <f t="shared" si="13"/>
        <v>96.5</v>
      </c>
    </row>
    <row r="889" spans="1:11">
      <c r="A889" t="s">
        <v>24</v>
      </c>
      <c r="B889" t="s">
        <v>17</v>
      </c>
      <c r="C889" t="s">
        <v>39</v>
      </c>
      <c r="D889" t="s">
        <v>27</v>
      </c>
      <c r="E889" t="s">
        <v>15</v>
      </c>
      <c r="F889" s="5" t="s">
        <v>871</v>
      </c>
      <c r="G889">
        <v>29</v>
      </c>
      <c r="H889">
        <v>54</v>
      </c>
      <c r="I889">
        <v>72</v>
      </c>
      <c r="J889">
        <v>59</v>
      </c>
      <c r="K889">
        <f t="shared" si="13"/>
        <v>63</v>
      </c>
    </row>
    <row r="890" spans="1:11">
      <c r="A890" t="s">
        <v>11</v>
      </c>
      <c r="B890" t="s">
        <v>38</v>
      </c>
      <c r="C890" t="s">
        <v>18</v>
      </c>
      <c r="D890" t="s">
        <v>27</v>
      </c>
      <c r="E890" t="s">
        <v>15</v>
      </c>
      <c r="F890" s="5" t="s">
        <v>872</v>
      </c>
      <c r="G890">
        <v>23</v>
      </c>
      <c r="H890">
        <v>69</v>
      </c>
      <c r="I890">
        <v>65</v>
      </c>
      <c r="J890">
        <v>74</v>
      </c>
      <c r="K890">
        <f t="shared" si="13"/>
        <v>67</v>
      </c>
    </row>
    <row r="891" spans="1:11">
      <c r="A891" t="s">
        <v>24</v>
      </c>
      <c r="B891" t="s">
        <v>38</v>
      </c>
      <c r="C891" t="s">
        <v>39</v>
      </c>
      <c r="D891" t="s">
        <v>27</v>
      </c>
      <c r="E891" t="s">
        <v>15</v>
      </c>
      <c r="F891" s="5" t="s">
        <v>873</v>
      </c>
      <c r="G891">
        <v>12</v>
      </c>
      <c r="H891">
        <v>44</v>
      </c>
      <c r="I891">
        <v>51</v>
      </c>
      <c r="J891">
        <v>48</v>
      </c>
      <c r="K891">
        <f t="shared" si="13"/>
        <v>47.5</v>
      </c>
    </row>
    <row r="892" spans="1:11">
      <c r="A892" t="s">
        <v>11</v>
      </c>
      <c r="B892" t="s">
        <v>69</v>
      </c>
      <c r="C892" t="s">
        <v>18</v>
      </c>
      <c r="D892" t="s">
        <v>14</v>
      </c>
      <c r="E892" t="s">
        <v>19</v>
      </c>
      <c r="F892">
        <v>9.7493567090000006</v>
      </c>
      <c r="G892">
        <v>7</v>
      </c>
      <c r="H892">
        <v>86</v>
      </c>
      <c r="I892">
        <v>85</v>
      </c>
      <c r="J892">
        <v>91</v>
      </c>
      <c r="K892">
        <f t="shared" si="13"/>
        <v>85.5</v>
      </c>
    </row>
    <row r="893" spans="1:11">
      <c r="A893" t="s">
        <v>11</v>
      </c>
      <c r="B893" t="s">
        <v>69</v>
      </c>
      <c r="C893" t="s">
        <v>26</v>
      </c>
      <c r="D893" t="s">
        <v>14</v>
      </c>
      <c r="E893" t="s">
        <v>15</v>
      </c>
      <c r="F893" s="5" t="s">
        <v>874</v>
      </c>
      <c r="G893">
        <v>5</v>
      </c>
      <c r="H893">
        <v>85</v>
      </c>
      <c r="I893">
        <v>92</v>
      </c>
      <c r="J893">
        <v>85</v>
      </c>
      <c r="K893">
        <f t="shared" si="13"/>
        <v>88.5</v>
      </c>
    </row>
    <row r="894" spans="1:11">
      <c r="A894" t="s">
        <v>11</v>
      </c>
      <c r="B894" t="s">
        <v>25</v>
      </c>
      <c r="C894" t="s">
        <v>22</v>
      </c>
      <c r="D894" t="s">
        <v>27</v>
      </c>
      <c r="E894" t="s">
        <v>15</v>
      </c>
      <c r="F894" s="5" t="s">
        <v>875</v>
      </c>
      <c r="G894">
        <v>7</v>
      </c>
      <c r="H894">
        <v>50</v>
      </c>
      <c r="I894">
        <v>67</v>
      </c>
      <c r="J894">
        <v>73</v>
      </c>
      <c r="K894">
        <f t="shared" si="13"/>
        <v>58.5</v>
      </c>
    </row>
    <row r="895" spans="1:11">
      <c r="A895" t="s">
        <v>24</v>
      </c>
      <c r="B895" t="s">
        <v>38</v>
      </c>
      <c r="C895" t="s">
        <v>50</v>
      </c>
      <c r="D895" t="s">
        <v>14</v>
      </c>
      <c r="E895" t="s">
        <v>19</v>
      </c>
      <c r="F895" s="5" t="s">
        <v>876</v>
      </c>
      <c r="G895">
        <v>13</v>
      </c>
      <c r="H895">
        <v>88</v>
      </c>
      <c r="I895">
        <v>74</v>
      </c>
      <c r="J895">
        <v>75</v>
      </c>
      <c r="K895">
        <f t="shared" si="13"/>
        <v>81</v>
      </c>
    </row>
    <row r="896" spans="1:11">
      <c r="A896" t="s">
        <v>11</v>
      </c>
      <c r="B896" t="s">
        <v>69</v>
      </c>
      <c r="C896" t="s">
        <v>26</v>
      </c>
      <c r="D896" t="s">
        <v>14</v>
      </c>
      <c r="E896" t="s">
        <v>15</v>
      </c>
      <c r="F896">
        <v>12.84556327</v>
      </c>
      <c r="G896">
        <v>20</v>
      </c>
      <c r="H896">
        <v>59</v>
      </c>
      <c r="I896">
        <v>62</v>
      </c>
      <c r="J896">
        <v>69</v>
      </c>
      <c r="K896">
        <f t="shared" si="13"/>
        <v>60.5</v>
      </c>
    </row>
    <row r="897" spans="1:11">
      <c r="A897" t="s">
        <v>11</v>
      </c>
      <c r="B897" t="s">
        <v>69</v>
      </c>
      <c r="C897" t="s">
        <v>50</v>
      </c>
      <c r="D897" t="s">
        <v>27</v>
      </c>
      <c r="E897" t="s">
        <v>15</v>
      </c>
      <c r="F897" s="5" t="s">
        <v>877</v>
      </c>
      <c r="G897">
        <v>5</v>
      </c>
      <c r="H897">
        <v>32</v>
      </c>
      <c r="I897">
        <v>34</v>
      </c>
      <c r="J897">
        <v>38</v>
      </c>
      <c r="K897">
        <f t="shared" si="13"/>
        <v>33</v>
      </c>
    </row>
    <row r="898" spans="1:11">
      <c r="A898" t="s">
        <v>24</v>
      </c>
      <c r="B898" t="s">
        <v>12</v>
      </c>
      <c r="C898" t="s">
        <v>39</v>
      </c>
      <c r="D898" t="s">
        <v>27</v>
      </c>
      <c r="E898" t="s">
        <v>15</v>
      </c>
      <c r="F898" s="5" t="s">
        <v>878</v>
      </c>
      <c r="G898">
        <v>9</v>
      </c>
      <c r="H898">
        <v>36</v>
      </c>
      <c r="I898">
        <v>29</v>
      </c>
      <c r="J898">
        <v>27</v>
      </c>
      <c r="K898">
        <f t="shared" si="13"/>
        <v>32.5</v>
      </c>
    </row>
    <row r="899" spans="1:11">
      <c r="A899" t="s">
        <v>11</v>
      </c>
      <c r="B899" t="s">
        <v>12</v>
      </c>
      <c r="C899" t="s">
        <v>50</v>
      </c>
      <c r="D899" t="s">
        <v>27</v>
      </c>
      <c r="E899" t="s">
        <v>19</v>
      </c>
      <c r="F899" s="5" t="s">
        <v>879</v>
      </c>
      <c r="G899">
        <v>23</v>
      </c>
      <c r="H899">
        <v>63</v>
      </c>
      <c r="I899">
        <v>78</v>
      </c>
      <c r="J899">
        <v>79</v>
      </c>
      <c r="K899">
        <f t="shared" ref="K899:K962" si="14">(H899+I899)/2</f>
        <v>70.5</v>
      </c>
    </row>
    <row r="900" spans="1:11">
      <c r="A900" t="s">
        <v>24</v>
      </c>
      <c r="B900" t="s">
        <v>38</v>
      </c>
      <c r="C900" t="s">
        <v>26</v>
      </c>
      <c r="D900" t="s">
        <v>14</v>
      </c>
      <c r="E900" t="s">
        <v>19</v>
      </c>
      <c r="F900">
        <v>7.6706902489999997</v>
      </c>
      <c r="G900">
        <v>5</v>
      </c>
      <c r="H900">
        <v>67</v>
      </c>
      <c r="I900">
        <v>54</v>
      </c>
      <c r="J900">
        <v>63</v>
      </c>
      <c r="K900">
        <f t="shared" si="14"/>
        <v>60.5</v>
      </c>
    </row>
    <row r="901" spans="1:11">
      <c r="A901" t="s">
        <v>11</v>
      </c>
      <c r="B901" t="s">
        <v>38</v>
      </c>
      <c r="C901" t="s">
        <v>50</v>
      </c>
      <c r="D901" t="s">
        <v>14</v>
      </c>
      <c r="E901" t="s">
        <v>19</v>
      </c>
      <c r="F901" s="5" t="s">
        <v>880</v>
      </c>
      <c r="G901">
        <v>17</v>
      </c>
      <c r="H901">
        <v>65</v>
      </c>
      <c r="I901">
        <v>78</v>
      </c>
      <c r="J901">
        <v>82</v>
      </c>
      <c r="K901">
        <f t="shared" si="14"/>
        <v>71.5</v>
      </c>
    </row>
    <row r="902" spans="1:11">
      <c r="A902" t="s">
        <v>24</v>
      </c>
      <c r="B902" t="s">
        <v>38</v>
      </c>
      <c r="C902" t="s">
        <v>22</v>
      </c>
      <c r="D902" t="s">
        <v>14</v>
      </c>
      <c r="E902" t="s">
        <v>15</v>
      </c>
      <c r="F902" s="5" t="s">
        <v>881</v>
      </c>
      <c r="G902">
        <v>6</v>
      </c>
      <c r="H902">
        <v>85</v>
      </c>
      <c r="I902">
        <v>84</v>
      </c>
      <c r="J902">
        <v>89</v>
      </c>
      <c r="K902">
        <f t="shared" si="14"/>
        <v>84.5</v>
      </c>
    </row>
    <row r="903" spans="1:11">
      <c r="A903" t="s">
        <v>11</v>
      </c>
      <c r="B903" t="s">
        <v>17</v>
      </c>
      <c r="C903" t="s">
        <v>22</v>
      </c>
      <c r="D903" t="s">
        <v>14</v>
      </c>
      <c r="E903" t="s">
        <v>15</v>
      </c>
      <c r="F903" s="5" t="s">
        <v>882</v>
      </c>
      <c r="G903">
        <v>17</v>
      </c>
      <c r="H903">
        <v>73</v>
      </c>
      <c r="I903">
        <v>78</v>
      </c>
      <c r="J903">
        <v>74</v>
      </c>
      <c r="K903">
        <f t="shared" si="14"/>
        <v>75.5</v>
      </c>
    </row>
    <row r="904" spans="1:11">
      <c r="A904" t="s">
        <v>11</v>
      </c>
      <c r="B904" t="s">
        <v>25</v>
      </c>
      <c r="C904" t="s">
        <v>39</v>
      </c>
      <c r="D904" t="s">
        <v>27</v>
      </c>
      <c r="E904" t="s">
        <v>19</v>
      </c>
      <c r="F904" s="5" t="s">
        <v>883</v>
      </c>
      <c r="G904">
        <v>4</v>
      </c>
      <c r="H904">
        <v>34</v>
      </c>
      <c r="I904">
        <v>48</v>
      </c>
      <c r="J904">
        <v>41</v>
      </c>
      <c r="K904">
        <f t="shared" si="14"/>
        <v>41</v>
      </c>
    </row>
    <row r="905" spans="1:11">
      <c r="A905" t="s">
        <v>11</v>
      </c>
      <c r="B905" t="s">
        <v>38</v>
      </c>
      <c r="C905" t="s">
        <v>13</v>
      </c>
      <c r="D905" t="s">
        <v>27</v>
      </c>
      <c r="E905" t="s">
        <v>19</v>
      </c>
      <c r="F905" s="5" t="s">
        <v>884</v>
      </c>
      <c r="G905">
        <v>10</v>
      </c>
      <c r="H905">
        <v>93</v>
      </c>
      <c r="I905">
        <v>100</v>
      </c>
      <c r="J905">
        <v>100</v>
      </c>
      <c r="K905">
        <f t="shared" si="14"/>
        <v>96.5</v>
      </c>
    </row>
    <row r="906" spans="1:11">
      <c r="A906" t="s">
        <v>11</v>
      </c>
      <c r="B906" t="s">
        <v>38</v>
      </c>
      <c r="C906" t="s">
        <v>50</v>
      </c>
      <c r="D906" t="s">
        <v>27</v>
      </c>
      <c r="E906" t="s">
        <v>15</v>
      </c>
      <c r="F906" s="5" t="s">
        <v>885</v>
      </c>
      <c r="G906">
        <v>0</v>
      </c>
      <c r="H906">
        <v>67</v>
      </c>
      <c r="I906">
        <v>84</v>
      </c>
      <c r="J906">
        <v>84</v>
      </c>
      <c r="K906">
        <f t="shared" si="14"/>
        <v>75.5</v>
      </c>
    </row>
    <row r="907" spans="1:11">
      <c r="A907" t="s">
        <v>24</v>
      </c>
      <c r="B907" t="s">
        <v>38</v>
      </c>
      <c r="C907" t="s">
        <v>18</v>
      </c>
      <c r="D907" t="s">
        <v>14</v>
      </c>
      <c r="E907" t="s">
        <v>15</v>
      </c>
      <c r="F907" s="5" t="s">
        <v>886</v>
      </c>
      <c r="G907">
        <v>16</v>
      </c>
      <c r="H907">
        <v>88</v>
      </c>
      <c r="I907">
        <v>77</v>
      </c>
      <c r="J907">
        <v>77</v>
      </c>
      <c r="K907">
        <f t="shared" si="14"/>
        <v>82.5</v>
      </c>
    </row>
    <row r="908" spans="1:11">
      <c r="A908" t="s">
        <v>24</v>
      </c>
      <c r="B908" t="s">
        <v>12</v>
      </c>
      <c r="C908" t="s">
        <v>39</v>
      </c>
      <c r="D908" t="s">
        <v>14</v>
      </c>
      <c r="E908" t="s">
        <v>15</v>
      </c>
      <c r="F908" s="5" t="s">
        <v>887</v>
      </c>
      <c r="G908">
        <v>10</v>
      </c>
      <c r="H908">
        <v>57</v>
      </c>
      <c r="I908">
        <v>48</v>
      </c>
      <c r="J908">
        <v>51</v>
      </c>
      <c r="K908">
        <f t="shared" si="14"/>
        <v>52.5</v>
      </c>
    </row>
    <row r="909" spans="1:11">
      <c r="A909" t="s">
        <v>11</v>
      </c>
      <c r="B909" t="s">
        <v>38</v>
      </c>
      <c r="C909" t="s">
        <v>18</v>
      </c>
      <c r="D909" t="s">
        <v>14</v>
      </c>
      <c r="E909" t="s">
        <v>19</v>
      </c>
      <c r="F909" s="5" t="s">
        <v>888</v>
      </c>
      <c r="G909">
        <v>25</v>
      </c>
      <c r="H909">
        <v>79</v>
      </c>
      <c r="I909">
        <v>84</v>
      </c>
      <c r="J909">
        <v>91</v>
      </c>
      <c r="K909">
        <f t="shared" si="14"/>
        <v>81.5</v>
      </c>
    </row>
    <row r="910" spans="1:11">
      <c r="A910" t="s">
        <v>11</v>
      </c>
      <c r="B910" t="s">
        <v>17</v>
      </c>
      <c r="C910" t="s">
        <v>13</v>
      </c>
      <c r="D910" t="s">
        <v>27</v>
      </c>
      <c r="E910" t="s">
        <v>15</v>
      </c>
      <c r="F910" s="5" t="s">
        <v>889</v>
      </c>
      <c r="G910">
        <v>8</v>
      </c>
      <c r="H910">
        <v>67</v>
      </c>
      <c r="I910">
        <v>75</v>
      </c>
      <c r="J910">
        <v>72</v>
      </c>
      <c r="K910">
        <f t="shared" si="14"/>
        <v>71</v>
      </c>
    </row>
    <row r="911" spans="1:11">
      <c r="A911" t="s">
        <v>24</v>
      </c>
      <c r="B911" t="s">
        <v>69</v>
      </c>
      <c r="C911" t="s">
        <v>13</v>
      </c>
      <c r="D911" t="s">
        <v>14</v>
      </c>
      <c r="E911" t="s">
        <v>19</v>
      </c>
      <c r="F911" s="5" t="s">
        <v>890</v>
      </c>
      <c r="G911">
        <v>23</v>
      </c>
      <c r="H911">
        <v>70</v>
      </c>
      <c r="I911">
        <v>64</v>
      </c>
      <c r="J911">
        <v>70</v>
      </c>
      <c r="K911">
        <f t="shared" si="14"/>
        <v>67</v>
      </c>
    </row>
    <row r="912" spans="1:11">
      <c r="A912" t="s">
        <v>24</v>
      </c>
      <c r="B912" t="s">
        <v>38</v>
      </c>
      <c r="C912" t="s">
        <v>13</v>
      </c>
      <c r="D912" t="s">
        <v>27</v>
      </c>
      <c r="E912" t="s">
        <v>15</v>
      </c>
      <c r="F912" s="5" t="s">
        <v>891</v>
      </c>
      <c r="G912">
        <v>6</v>
      </c>
      <c r="H912">
        <v>50</v>
      </c>
      <c r="I912">
        <v>42</v>
      </c>
      <c r="J912">
        <v>48</v>
      </c>
      <c r="K912">
        <f t="shared" si="14"/>
        <v>46</v>
      </c>
    </row>
    <row r="913" spans="1:11">
      <c r="A913" t="s">
        <v>11</v>
      </c>
      <c r="B913" t="s">
        <v>25</v>
      </c>
      <c r="C913" t="s">
        <v>18</v>
      </c>
      <c r="D913" t="s">
        <v>14</v>
      </c>
      <c r="E913" t="s">
        <v>15</v>
      </c>
      <c r="F913" s="5" t="s">
        <v>892</v>
      </c>
      <c r="G913">
        <v>8</v>
      </c>
      <c r="H913">
        <v>69</v>
      </c>
      <c r="I913">
        <v>84</v>
      </c>
      <c r="J913">
        <v>82</v>
      </c>
      <c r="K913">
        <f t="shared" si="14"/>
        <v>76.5</v>
      </c>
    </row>
    <row r="914" spans="1:11">
      <c r="A914" t="s">
        <v>11</v>
      </c>
      <c r="B914" t="s">
        <v>17</v>
      </c>
      <c r="C914" t="s">
        <v>13</v>
      </c>
      <c r="D914" t="s">
        <v>14</v>
      </c>
      <c r="E914" t="s">
        <v>19</v>
      </c>
      <c r="F914" s="5" t="s">
        <v>893</v>
      </c>
      <c r="G914">
        <v>18</v>
      </c>
      <c r="H914">
        <v>52</v>
      </c>
      <c r="I914">
        <v>61</v>
      </c>
      <c r="J914">
        <v>66</v>
      </c>
      <c r="K914">
        <f t="shared" si="14"/>
        <v>56.5</v>
      </c>
    </row>
    <row r="915" spans="1:11">
      <c r="A915" t="s">
        <v>11</v>
      </c>
      <c r="B915" t="s">
        <v>17</v>
      </c>
      <c r="C915" t="s">
        <v>13</v>
      </c>
      <c r="D915" t="s">
        <v>27</v>
      </c>
      <c r="E915" t="s">
        <v>19</v>
      </c>
      <c r="F915" s="5" t="s">
        <v>894</v>
      </c>
      <c r="G915">
        <v>21</v>
      </c>
      <c r="H915">
        <v>47</v>
      </c>
      <c r="I915">
        <v>62</v>
      </c>
      <c r="J915">
        <v>66</v>
      </c>
      <c r="K915">
        <f t="shared" si="14"/>
        <v>54.5</v>
      </c>
    </row>
    <row r="916" spans="1:11">
      <c r="A916" t="s">
        <v>11</v>
      </c>
      <c r="B916" t="s">
        <v>12</v>
      </c>
      <c r="C916" t="s">
        <v>26</v>
      </c>
      <c r="D916" t="s">
        <v>27</v>
      </c>
      <c r="E916" t="s">
        <v>15</v>
      </c>
      <c r="F916" s="5" t="s">
        <v>895</v>
      </c>
      <c r="G916">
        <v>2</v>
      </c>
      <c r="H916">
        <v>46</v>
      </c>
      <c r="I916">
        <v>61</v>
      </c>
      <c r="J916">
        <v>55</v>
      </c>
      <c r="K916">
        <f t="shared" si="14"/>
        <v>53.5</v>
      </c>
    </row>
    <row r="917" spans="1:11">
      <c r="A917" t="s">
        <v>11</v>
      </c>
      <c r="B917" t="s">
        <v>69</v>
      </c>
      <c r="C917" t="s">
        <v>18</v>
      </c>
      <c r="D917" t="s">
        <v>14</v>
      </c>
      <c r="E917" t="s">
        <v>15</v>
      </c>
      <c r="F917" s="5" t="s">
        <v>896</v>
      </c>
      <c r="G917">
        <v>8</v>
      </c>
      <c r="H917">
        <v>68</v>
      </c>
      <c r="I917">
        <v>70</v>
      </c>
      <c r="J917">
        <v>66</v>
      </c>
      <c r="K917">
        <f t="shared" si="14"/>
        <v>69</v>
      </c>
    </row>
    <row r="918" spans="1:11">
      <c r="A918" t="s">
        <v>24</v>
      </c>
      <c r="B918" t="s">
        <v>69</v>
      </c>
      <c r="C918" t="s">
        <v>13</v>
      </c>
      <c r="D918" t="s">
        <v>14</v>
      </c>
      <c r="E918" t="s">
        <v>19</v>
      </c>
      <c r="F918">
        <v>9.3969086999999991</v>
      </c>
      <c r="G918">
        <v>13</v>
      </c>
      <c r="H918">
        <v>100</v>
      </c>
      <c r="I918">
        <v>100</v>
      </c>
      <c r="J918">
        <v>100</v>
      </c>
      <c r="K918">
        <f t="shared" si="14"/>
        <v>100</v>
      </c>
    </row>
    <row r="919" spans="1:11">
      <c r="A919" t="s">
        <v>11</v>
      </c>
      <c r="B919" t="s">
        <v>17</v>
      </c>
      <c r="C919" t="s">
        <v>39</v>
      </c>
      <c r="D919" t="s">
        <v>14</v>
      </c>
      <c r="E919" t="s">
        <v>15</v>
      </c>
      <c r="F919" s="5" t="s">
        <v>897</v>
      </c>
      <c r="G919">
        <v>17</v>
      </c>
      <c r="H919">
        <v>44</v>
      </c>
      <c r="I919">
        <v>61</v>
      </c>
      <c r="J919">
        <v>52</v>
      </c>
      <c r="K919">
        <f t="shared" si="14"/>
        <v>52.5</v>
      </c>
    </row>
    <row r="920" spans="1:11">
      <c r="A920" t="s">
        <v>11</v>
      </c>
      <c r="B920" t="s">
        <v>17</v>
      </c>
      <c r="C920" t="s">
        <v>26</v>
      </c>
      <c r="D920" t="s">
        <v>14</v>
      </c>
      <c r="E920" t="s">
        <v>19</v>
      </c>
      <c r="F920" s="5" t="s">
        <v>898</v>
      </c>
      <c r="G920">
        <v>16</v>
      </c>
      <c r="H920">
        <v>57</v>
      </c>
      <c r="I920">
        <v>77</v>
      </c>
      <c r="J920">
        <v>80</v>
      </c>
      <c r="K920">
        <f t="shared" si="14"/>
        <v>67</v>
      </c>
    </row>
    <row r="921" spans="1:11">
      <c r="A921" t="s">
        <v>24</v>
      </c>
      <c r="B921" t="s">
        <v>12</v>
      </c>
      <c r="C921" t="s">
        <v>18</v>
      </c>
      <c r="D921" t="s">
        <v>14</v>
      </c>
      <c r="E921" t="s">
        <v>19</v>
      </c>
      <c r="F921" s="5" t="s">
        <v>899</v>
      </c>
      <c r="G921">
        <v>14</v>
      </c>
      <c r="H921">
        <v>91</v>
      </c>
      <c r="I921">
        <v>96</v>
      </c>
      <c r="J921">
        <v>91</v>
      </c>
      <c r="K921">
        <f t="shared" si="14"/>
        <v>93.5</v>
      </c>
    </row>
    <row r="922" spans="1:11">
      <c r="A922" t="s">
        <v>24</v>
      </c>
      <c r="B922" t="s">
        <v>38</v>
      </c>
      <c r="C922" t="s">
        <v>39</v>
      </c>
      <c r="D922" t="s">
        <v>27</v>
      </c>
      <c r="E922" t="s">
        <v>15</v>
      </c>
      <c r="F922" s="5" t="s">
        <v>900</v>
      </c>
      <c r="G922">
        <v>6</v>
      </c>
      <c r="H922">
        <v>69</v>
      </c>
      <c r="I922">
        <v>70</v>
      </c>
      <c r="J922">
        <v>67</v>
      </c>
      <c r="K922">
        <f t="shared" si="14"/>
        <v>69.5</v>
      </c>
    </row>
    <row r="923" spans="1:11">
      <c r="A923" t="s">
        <v>11</v>
      </c>
      <c r="B923" t="s">
        <v>17</v>
      </c>
      <c r="C923" t="s">
        <v>39</v>
      </c>
      <c r="D923" t="s">
        <v>27</v>
      </c>
      <c r="E923" t="s">
        <v>15</v>
      </c>
      <c r="F923" s="5" t="s">
        <v>901</v>
      </c>
      <c r="G923">
        <v>9</v>
      </c>
      <c r="H923">
        <v>35</v>
      </c>
      <c r="I923">
        <v>53</v>
      </c>
      <c r="J923">
        <v>46</v>
      </c>
      <c r="K923">
        <f t="shared" si="14"/>
        <v>44</v>
      </c>
    </row>
    <row r="924" spans="1:11">
      <c r="A924" t="s">
        <v>24</v>
      </c>
      <c r="B924" t="s">
        <v>38</v>
      </c>
      <c r="C924" t="s">
        <v>39</v>
      </c>
      <c r="D924" t="s">
        <v>14</v>
      </c>
      <c r="E924" t="s">
        <v>15</v>
      </c>
      <c r="F924" s="5" t="s">
        <v>902</v>
      </c>
      <c r="G924">
        <v>16</v>
      </c>
      <c r="H924">
        <v>72</v>
      </c>
      <c r="I924">
        <v>66</v>
      </c>
      <c r="J924">
        <v>66</v>
      </c>
      <c r="K924">
        <f t="shared" si="14"/>
        <v>69</v>
      </c>
    </row>
    <row r="925" spans="1:11">
      <c r="A925" t="s">
        <v>11</v>
      </c>
      <c r="B925" t="s">
        <v>12</v>
      </c>
      <c r="C925" t="s">
        <v>26</v>
      </c>
      <c r="D925" t="s">
        <v>27</v>
      </c>
      <c r="E925" t="s">
        <v>15</v>
      </c>
      <c r="F925" s="5" t="s">
        <v>903</v>
      </c>
      <c r="G925">
        <v>20</v>
      </c>
      <c r="H925">
        <v>54</v>
      </c>
      <c r="I925">
        <v>65</v>
      </c>
      <c r="J925">
        <v>65</v>
      </c>
      <c r="K925">
        <f t="shared" si="14"/>
        <v>59.5</v>
      </c>
    </row>
    <row r="926" spans="1:11">
      <c r="A926" t="s">
        <v>24</v>
      </c>
      <c r="B926" t="s">
        <v>38</v>
      </c>
      <c r="C926" t="s">
        <v>39</v>
      </c>
      <c r="D926" t="s">
        <v>27</v>
      </c>
      <c r="E926" t="s">
        <v>15</v>
      </c>
      <c r="F926" s="5" t="s">
        <v>904</v>
      </c>
      <c r="G926">
        <v>17</v>
      </c>
      <c r="H926">
        <v>74</v>
      </c>
      <c r="I926">
        <v>70</v>
      </c>
      <c r="J926">
        <v>69</v>
      </c>
      <c r="K926">
        <f t="shared" si="14"/>
        <v>72</v>
      </c>
    </row>
    <row r="927" spans="1:11">
      <c r="A927" t="s">
        <v>24</v>
      </c>
      <c r="B927" t="s">
        <v>69</v>
      </c>
      <c r="C927" t="s">
        <v>50</v>
      </c>
      <c r="D927" t="s">
        <v>14</v>
      </c>
      <c r="E927" t="s">
        <v>19</v>
      </c>
      <c r="F927" s="5" t="s">
        <v>905</v>
      </c>
      <c r="G927">
        <v>27</v>
      </c>
      <c r="H927">
        <v>74</v>
      </c>
      <c r="I927">
        <v>64</v>
      </c>
      <c r="J927">
        <v>60</v>
      </c>
      <c r="K927">
        <f t="shared" si="14"/>
        <v>69</v>
      </c>
    </row>
    <row r="928" spans="1:11">
      <c r="A928" t="s">
        <v>24</v>
      </c>
      <c r="B928" t="s">
        <v>69</v>
      </c>
      <c r="C928" t="s">
        <v>26</v>
      </c>
      <c r="D928" t="s">
        <v>27</v>
      </c>
      <c r="E928" t="s">
        <v>15</v>
      </c>
      <c r="F928" s="5" t="s">
        <v>906</v>
      </c>
      <c r="G928">
        <v>8</v>
      </c>
      <c r="H928">
        <v>64</v>
      </c>
      <c r="I928">
        <v>56</v>
      </c>
      <c r="J928">
        <v>52</v>
      </c>
      <c r="K928">
        <f t="shared" si="14"/>
        <v>60</v>
      </c>
    </row>
    <row r="929" spans="1:11">
      <c r="A929" t="s">
        <v>11</v>
      </c>
      <c r="B929" t="s">
        <v>38</v>
      </c>
      <c r="C929" t="s">
        <v>39</v>
      </c>
      <c r="D929" t="s">
        <v>27</v>
      </c>
      <c r="E929" t="s">
        <v>19</v>
      </c>
      <c r="F929" s="5" t="s">
        <v>907</v>
      </c>
      <c r="G929">
        <v>22</v>
      </c>
      <c r="H929">
        <v>65</v>
      </c>
      <c r="I929">
        <v>61</v>
      </c>
      <c r="J929">
        <v>71</v>
      </c>
      <c r="K929">
        <f t="shared" si="14"/>
        <v>63</v>
      </c>
    </row>
    <row r="930" spans="1:11">
      <c r="A930" t="s">
        <v>24</v>
      </c>
      <c r="B930" t="s">
        <v>69</v>
      </c>
      <c r="C930" t="s">
        <v>26</v>
      </c>
      <c r="D930" t="s">
        <v>27</v>
      </c>
      <c r="E930" t="s">
        <v>19</v>
      </c>
      <c r="F930" s="5" t="s">
        <v>908</v>
      </c>
      <c r="G930">
        <v>24</v>
      </c>
      <c r="H930">
        <v>46</v>
      </c>
      <c r="I930">
        <v>43</v>
      </c>
      <c r="J930">
        <v>44</v>
      </c>
      <c r="K930">
        <f t="shared" si="14"/>
        <v>44.5</v>
      </c>
    </row>
    <row r="931" spans="1:11">
      <c r="A931" t="s">
        <v>11</v>
      </c>
      <c r="B931" t="s">
        <v>17</v>
      </c>
      <c r="C931" t="s">
        <v>50</v>
      </c>
      <c r="D931" t="s">
        <v>27</v>
      </c>
      <c r="E931" t="s">
        <v>15</v>
      </c>
      <c r="F931" s="5" t="s">
        <v>909</v>
      </c>
      <c r="G931">
        <v>19</v>
      </c>
      <c r="H931">
        <v>48</v>
      </c>
      <c r="I931">
        <v>56</v>
      </c>
      <c r="J931">
        <v>51</v>
      </c>
      <c r="K931">
        <f t="shared" si="14"/>
        <v>52</v>
      </c>
    </row>
    <row r="932" spans="1:11">
      <c r="A932" t="s">
        <v>24</v>
      </c>
      <c r="B932" t="s">
        <v>17</v>
      </c>
      <c r="C932" t="s">
        <v>18</v>
      </c>
      <c r="D932" t="s">
        <v>27</v>
      </c>
      <c r="E932" t="s">
        <v>19</v>
      </c>
      <c r="F932" s="5" t="s">
        <v>910</v>
      </c>
      <c r="G932">
        <v>28</v>
      </c>
      <c r="H932">
        <v>67</v>
      </c>
      <c r="I932">
        <v>74</v>
      </c>
      <c r="J932">
        <v>70</v>
      </c>
      <c r="K932">
        <f t="shared" si="14"/>
        <v>70.5</v>
      </c>
    </row>
    <row r="933" spans="1:11">
      <c r="A933" t="s">
        <v>24</v>
      </c>
      <c r="B933" t="s">
        <v>38</v>
      </c>
      <c r="C933" t="s">
        <v>18</v>
      </c>
      <c r="D933" t="s">
        <v>27</v>
      </c>
      <c r="E933" t="s">
        <v>15</v>
      </c>
      <c r="F933" s="5" t="s">
        <v>911</v>
      </c>
      <c r="G933">
        <v>19</v>
      </c>
      <c r="H933">
        <v>62</v>
      </c>
      <c r="I933">
        <v>57</v>
      </c>
      <c r="J933">
        <v>62</v>
      </c>
      <c r="K933">
        <f t="shared" si="14"/>
        <v>59.5</v>
      </c>
    </row>
    <row r="934" spans="1:11">
      <c r="A934" t="s">
        <v>24</v>
      </c>
      <c r="B934" t="s">
        <v>38</v>
      </c>
      <c r="C934" t="s">
        <v>26</v>
      </c>
      <c r="D934" t="s">
        <v>27</v>
      </c>
      <c r="E934" t="s">
        <v>19</v>
      </c>
      <c r="F934" s="5" t="s">
        <v>912</v>
      </c>
      <c r="G934">
        <v>19</v>
      </c>
      <c r="H934">
        <v>61</v>
      </c>
      <c r="I934">
        <v>71</v>
      </c>
      <c r="J934">
        <v>73</v>
      </c>
      <c r="K934">
        <f t="shared" si="14"/>
        <v>66</v>
      </c>
    </row>
    <row r="935" spans="1:11">
      <c r="A935" t="s">
        <v>24</v>
      </c>
      <c r="B935" t="s">
        <v>17</v>
      </c>
      <c r="C935" t="s">
        <v>13</v>
      </c>
      <c r="D935" t="s">
        <v>27</v>
      </c>
      <c r="E935" t="s">
        <v>19</v>
      </c>
      <c r="F935" s="5" t="s">
        <v>913</v>
      </c>
      <c r="G935">
        <v>14</v>
      </c>
      <c r="H935">
        <v>70</v>
      </c>
      <c r="I935">
        <v>75</v>
      </c>
      <c r="J935">
        <v>74</v>
      </c>
      <c r="K935">
        <f t="shared" si="14"/>
        <v>72.5</v>
      </c>
    </row>
    <row r="936" spans="1:11">
      <c r="A936" t="s">
        <v>24</v>
      </c>
      <c r="B936" t="s">
        <v>17</v>
      </c>
      <c r="C936" t="s">
        <v>26</v>
      </c>
      <c r="D936" t="s">
        <v>14</v>
      </c>
      <c r="E936" t="s">
        <v>19</v>
      </c>
      <c r="F936" s="5" t="s">
        <v>914</v>
      </c>
      <c r="G936">
        <v>29</v>
      </c>
      <c r="H936">
        <v>98</v>
      </c>
      <c r="I936">
        <v>87</v>
      </c>
      <c r="J936">
        <v>90</v>
      </c>
      <c r="K936">
        <f t="shared" si="14"/>
        <v>92.5</v>
      </c>
    </row>
    <row r="937" spans="1:11">
      <c r="A937" t="s">
        <v>24</v>
      </c>
      <c r="B937" t="s">
        <v>38</v>
      </c>
      <c r="C937" t="s">
        <v>18</v>
      </c>
      <c r="D937" t="s">
        <v>27</v>
      </c>
      <c r="E937" t="s">
        <v>15</v>
      </c>
      <c r="F937" s="5" t="s">
        <v>915</v>
      </c>
      <c r="G937">
        <v>23</v>
      </c>
      <c r="H937">
        <v>70</v>
      </c>
      <c r="I937">
        <v>63</v>
      </c>
      <c r="J937">
        <v>58</v>
      </c>
      <c r="K937">
        <f t="shared" si="14"/>
        <v>66.5</v>
      </c>
    </row>
    <row r="938" spans="1:11">
      <c r="A938" t="s">
        <v>24</v>
      </c>
      <c r="B938" t="s">
        <v>25</v>
      </c>
      <c r="C938" t="s">
        <v>26</v>
      </c>
      <c r="D938" t="s">
        <v>14</v>
      </c>
      <c r="E938" t="s">
        <v>15</v>
      </c>
      <c r="F938" s="5" t="s">
        <v>916</v>
      </c>
      <c r="G938">
        <v>28</v>
      </c>
      <c r="H938">
        <v>67</v>
      </c>
      <c r="I938">
        <v>57</v>
      </c>
      <c r="J938">
        <v>53</v>
      </c>
      <c r="K938">
        <f t="shared" si="14"/>
        <v>62</v>
      </c>
    </row>
    <row r="939" spans="1:11">
      <c r="A939" t="s">
        <v>11</v>
      </c>
      <c r="B939" t="s">
        <v>69</v>
      </c>
      <c r="C939" t="s">
        <v>39</v>
      </c>
      <c r="D939" t="s">
        <v>27</v>
      </c>
      <c r="E939" t="s">
        <v>15</v>
      </c>
      <c r="F939" s="5" t="s">
        <v>917</v>
      </c>
      <c r="G939">
        <v>21</v>
      </c>
      <c r="H939">
        <v>57</v>
      </c>
      <c r="I939">
        <v>58</v>
      </c>
      <c r="J939">
        <v>57</v>
      </c>
      <c r="K939">
        <f t="shared" si="14"/>
        <v>57.5</v>
      </c>
    </row>
    <row r="940" spans="1:11">
      <c r="A940" t="s">
        <v>24</v>
      </c>
      <c r="B940" t="s">
        <v>38</v>
      </c>
      <c r="C940" t="s">
        <v>18</v>
      </c>
      <c r="D940" t="s">
        <v>14</v>
      </c>
      <c r="E940" t="s">
        <v>19</v>
      </c>
      <c r="F940" s="5" t="s">
        <v>918</v>
      </c>
      <c r="G940">
        <v>26</v>
      </c>
      <c r="H940">
        <v>85</v>
      </c>
      <c r="I940">
        <v>81</v>
      </c>
      <c r="J940">
        <v>85</v>
      </c>
      <c r="K940">
        <f t="shared" si="14"/>
        <v>83</v>
      </c>
    </row>
    <row r="941" spans="1:11">
      <c r="A941" t="s">
        <v>24</v>
      </c>
      <c r="B941" t="s">
        <v>38</v>
      </c>
      <c r="C941" t="s">
        <v>50</v>
      </c>
      <c r="D941" t="s">
        <v>14</v>
      </c>
      <c r="E941" t="s">
        <v>19</v>
      </c>
      <c r="F941" s="5" t="s">
        <v>919</v>
      </c>
      <c r="G941">
        <v>17</v>
      </c>
      <c r="H941">
        <v>77</v>
      </c>
      <c r="I941">
        <v>68</v>
      </c>
      <c r="J941">
        <v>69</v>
      </c>
      <c r="K941">
        <f t="shared" si="14"/>
        <v>72.5</v>
      </c>
    </row>
    <row r="942" spans="1:11">
      <c r="A942" t="s">
        <v>24</v>
      </c>
      <c r="B942" t="s">
        <v>17</v>
      </c>
      <c r="C942" t="s">
        <v>22</v>
      </c>
      <c r="D942" t="s">
        <v>27</v>
      </c>
      <c r="E942" t="s">
        <v>19</v>
      </c>
      <c r="F942" s="5" t="s">
        <v>920</v>
      </c>
      <c r="G942">
        <v>20</v>
      </c>
      <c r="H942">
        <v>72</v>
      </c>
      <c r="I942">
        <v>66</v>
      </c>
      <c r="J942">
        <v>72</v>
      </c>
      <c r="K942">
        <f t="shared" si="14"/>
        <v>69</v>
      </c>
    </row>
    <row r="943" spans="1:11">
      <c r="A943" t="s">
        <v>11</v>
      </c>
      <c r="B943" t="s">
        <v>38</v>
      </c>
      <c r="C943" t="s">
        <v>22</v>
      </c>
      <c r="D943" t="s">
        <v>14</v>
      </c>
      <c r="E943" t="s">
        <v>15</v>
      </c>
      <c r="F943" s="5" t="s">
        <v>921</v>
      </c>
      <c r="G943">
        <v>6</v>
      </c>
      <c r="H943">
        <v>78</v>
      </c>
      <c r="I943">
        <v>91</v>
      </c>
      <c r="J943">
        <v>96</v>
      </c>
      <c r="K943">
        <f t="shared" si="14"/>
        <v>84.5</v>
      </c>
    </row>
    <row r="944" spans="1:11">
      <c r="A944" t="s">
        <v>24</v>
      </c>
      <c r="B944" t="s">
        <v>17</v>
      </c>
      <c r="C944" t="s">
        <v>39</v>
      </c>
      <c r="D944" t="s">
        <v>14</v>
      </c>
      <c r="E944" t="s">
        <v>15</v>
      </c>
      <c r="F944" s="5" t="s">
        <v>922</v>
      </c>
      <c r="G944">
        <v>3</v>
      </c>
      <c r="H944">
        <v>81</v>
      </c>
      <c r="I944">
        <v>66</v>
      </c>
      <c r="J944">
        <v>64</v>
      </c>
      <c r="K944">
        <f t="shared" si="14"/>
        <v>73.5</v>
      </c>
    </row>
    <row r="945" spans="1:11">
      <c r="A945" t="s">
        <v>24</v>
      </c>
      <c r="B945" t="s">
        <v>25</v>
      </c>
      <c r="C945" t="s">
        <v>50</v>
      </c>
      <c r="D945" t="s">
        <v>27</v>
      </c>
      <c r="E945" t="s">
        <v>19</v>
      </c>
      <c r="F945" s="5" t="s">
        <v>923</v>
      </c>
      <c r="G945">
        <v>11</v>
      </c>
      <c r="H945">
        <v>61</v>
      </c>
      <c r="I945">
        <v>62</v>
      </c>
      <c r="J945">
        <v>61</v>
      </c>
      <c r="K945">
        <f t="shared" si="14"/>
        <v>61.5</v>
      </c>
    </row>
    <row r="946" spans="1:11">
      <c r="A946" t="s">
        <v>11</v>
      </c>
      <c r="B946" t="s">
        <v>12</v>
      </c>
      <c r="C946" t="s">
        <v>39</v>
      </c>
      <c r="D946" t="s">
        <v>14</v>
      </c>
      <c r="E946" t="s">
        <v>15</v>
      </c>
      <c r="F946" s="5" t="s">
        <v>924</v>
      </c>
      <c r="G946">
        <v>2</v>
      </c>
      <c r="H946">
        <v>58</v>
      </c>
      <c r="I946">
        <v>68</v>
      </c>
      <c r="J946">
        <v>61</v>
      </c>
      <c r="K946">
        <f t="shared" si="14"/>
        <v>63</v>
      </c>
    </row>
    <row r="947" spans="1:11">
      <c r="A947" t="s">
        <v>11</v>
      </c>
      <c r="B947" t="s">
        <v>17</v>
      </c>
      <c r="C947" t="s">
        <v>26</v>
      </c>
      <c r="D947" t="s">
        <v>14</v>
      </c>
      <c r="E947" t="s">
        <v>15</v>
      </c>
      <c r="F947" s="5" t="s">
        <v>925</v>
      </c>
      <c r="G947">
        <v>19</v>
      </c>
      <c r="H947">
        <v>54</v>
      </c>
      <c r="I947">
        <v>61</v>
      </c>
      <c r="J947">
        <v>58</v>
      </c>
      <c r="K947">
        <f t="shared" si="14"/>
        <v>57.5</v>
      </c>
    </row>
    <row r="948" spans="1:11">
      <c r="A948" t="s">
        <v>24</v>
      </c>
      <c r="B948" t="s">
        <v>12</v>
      </c>
      <c r="C948" t="s">
        <v>39</v>
      </c>
      <c r="D948" t="s">
        <v>14</v>
      </c>
      <c r="E948" t="s">
        <v>15</v>
      </c>
      <c r="F948" s="5" t="s">
        <v>926</v>
      </c>
      <c r="G948">
        <v>16</v>
      </c>
      <c r="H948">
        <v>82</v>
      </c>
      <c r="I948">
        <v>82</v>
      </c>
      <c r="J948">
        <v>80</v>
      </c>
      <c r="K948">
        <f t="shared" si="14"/>
        <v>82</v>
      </c>
    </row>
    <row r="949" spans="1:11">
      <c r="A949" t="s">
        <v>11</v>
      </c>
      <c r="B949" t="s">
        <v>38</v>
      </c>
      <c r="C949" t="s">
        <v>18</v>
      </c>
      <c r="D949" t="s">
        <v>27</v>
      </c>
      <c r="E949" t="s">
        <v>15</v>
      </c>
      <c r="F949" s="5" t="s">
        <v>927</v>
      </c>
      <c r="G949">
        <v>2</v>
      </c>
      <c r="H949">
        <v>49</v>
      </c>
      <c r="I949">
        <v>58</v>
      </c>
      <c r="J949">
        <v>60</v>
      </c>
      <c r="K949">
        <f t="shared" si="14"/>
        <v>53.5</v>
      </c>
    </row>
    <row r="950" spans="1:11">
      <c r="A950" t="s">
        <v>24</v>
      </c>
      <c r="B950" t="s">
        <v>12</v>
      </c>
      <c r="C950" t="s">
        <v>50</v>
      </c>
      <c r="D950" t="s">
        <v>27</v>
      </c>
      <c r="E950" t="s">
        <v>19</v>
      </c>
      <c r="F950" s="5" t="s">
        <v>928</v>
      </c>
      <c r="G950">
        <v>12</v>
      </c>
      <c r="H950">
        <v>49</v>
      </c>
      <c r="I950">
        <v>50</v>
      </c>
      <c r="J950">
        <v>52</v>
      </c>
      <c r="K950">
        <f t="shared" si="14"/>
        <v>49.5</v>
      </c>
    </row>
    <row r="951" spans="1:11">
      <c r="A951" t="s">
        <v>11</v>
      </c>
      <c r="B951" t="s">
        <v>69</v>
      </c>
      <c r="C951" t="s">
        <v>39</v>
      </c>
      <c r="D951" t="s">
        <v>27</v>
      </c>
      <c r="E951" t="s">
        <v>19</v>
      </c>
      <c r="F951" s="5" t="s">
        <v>929</v>
      </c>
      <c r="G951">
        <v>22</v>
      </c>
      <c r="H951">
        <v>57</v>
      </c>
      <c r="I951">
        <v>75</v>
      </c>
      <c r="J951">
        <v>73</v>
      </c>
      <c r="K951">
        <f t="shared" si="14"/>
        <v>66</v>
      </c>
    </row>
    <row r="952" spans="1:11">
      <c r="A952" t="s">
        <v>24</v>
      </c>
      <c r="B952" t="s">
        <v>69</v>
      </c>
      <c r="C952" t="s">
        <v>39</v>
      </c>
      <c r="D952" t="s">
        <v>14</v>
      </c>
      <c r="E952" t="s">
        <v>15</v>
      </c>
      <c r="F952" s="5" t="s">
        <v>930</v>
      </c>
      <c r="G952">
        <v>21</v>
      </c>
      <c r="H952">
        <v>94</v>
      </c>
      <c r="I952">
        <v>73</v>
      </c>
      <c r="J952">
        <v>71</v>
      </c>
      <c r="K952">
        <f t="shared" si="14"/>
        <v>83.5</v>
      </c>
    </row>
    <row r="953" spans="1:11">
      <c r="A953" t="s">
        <v>11</v>
      </c>
      <c r="B953" t="s">
        <v>38</v>
      </c>
      <c r="C953" t="s">
        <v>18</v>
      </c>
      <c r="D953" t="s">
        <v>14</v>
      </c>
      <c r="E953" t="s">
        <v>19</v>
      </c>
      <c r="F953" s="5" t="s">
        <v>931</v>
      </c>
      <c r="G953">
        <v>23</v>
      </c>
      <c r="H953">
        <v>75</v>
      </c>
      <c r="I953">
        <v>77</v>
      </c>
      <c r="J953">
        <v>83</v>
      </c>
      <c r="K953">
        <f t="shared" si="14"/>
        <v>76</v>
      </c>
    </row>
    <row r="954" spans="1:11">
      <c r="A954" t="s">
        <v>11</v>
      </c>
      <c r="B954" t="s">
        <v>69</v>
      </c>
      <c r="C954" t="s">
        <v>50</v>
      </c>
      <c r="D954" t="s">
        <v>27</v>
      </c>
      <c r="E954" t="s">
        <v>15</v>
      </c>
      <c r="F954" s="5" t="s">
        <v>932</v>
      </c>
      <c r="G954">
        <v>22</v>
      </c>
      <c r="H954">
        <v>74</v>
      </c>
      <c r="I954">
        <v>74</v>
      </c>
      <c r="J954">
        <v>72</v>
      </c>
      <c r="K954">
        <f t="shared" si="14"/>
        <v>74</v>
      </c>
    </row>
    <row r="955" spans="1:11">
      <c r="A955" t="s">
        <v>24</v>
      </c>
      <c r="B955" t="s">
        <v>17</v>
      </c>
      <c r="C955" t="s">
        <v>39</v>
      </c>
      <c r="D955" t="s">
        <v>14</v>
      </c>
      <c r="E955" t="s">
        <v>19</v>
      </c>
      <c r="F955" s="5" t="s">
        <v>933</v>
      </c>
      <c r="G955">
        <v>13</v>
      </c>
      <c r="H955">
        <v>58</v>
      </c>
      <c r="I955">
        <v>52</v>
      </c>
      <c r="J955">
        <v>54</v>
      </c>
      <c r="K955">
        <f t="shared" si="14"/>
        <v>55</v>
      </c>
    </row>
    <row r="956" spans="1:11">
      <c r="A956" t="s">
        <v>11</v>
      </c>
      <c r="B956" t="s">
        <v>17</v>
      </c>
      <c r="C956" t="s">
        <v>18</v>
      </c>
      <c r="D956" t="s">
        <v>14</v>
      </c>
      <c r="E956" t="s">
        <v>15</v>
      </c>
      <c r="F956" s="5" t="s">
        <v>934</v>
      </c>
      <c r="G956">
        <v>9</v>
      </c>
      <c r="H956">
        <v>62</v>
      </c>
      <c r="I956">
        <v>69</v>
      </c>
      <c r="J956">
        <v>69</v>
      </c>
      <c r="K956">
        <f t="shared" si="14"/>
        <v>65.5</v>
      </c>
    </row>
    <row r="957" spans="1:11">
      <c r="A957" t="s">
        <v>24</v>
      </c>
      <c r="B957" t="s">
        <v>69</v>
      </c>
      <c r="C957" t="s">
        <v>26</v>
      </c>
      <c r="D957" t="s">
        <v>14</v>
      </c>
      <c r="E957" t="s">
        <v>15</v>
      </c>
      <c r="F957" s="5" t="s">
        <v>935</v>
      </c>
      <c r="G957">
        <v>19</v>
      </c>
      <c r="H957">
        <v>72</v>
      </c>
      <c r="I957">
        <v>57</v>
      </c>
      <c r="J957">
        <v>62</v>
      </c>
      <c r="K957">
        <f t="shared" si="14"/>
        <v>64.5</v>
      </c>
    </row>
    <row r="958" spans="1:11">
      <c r="A958" t="s">
        <v>24</v>
      </c>
      <c r="B958" t="s">
        <v>17</v>
      </c>
      <c r="C958" t="s">
        <v>18</v>
      </c>
      <c r="D958" t="s">
        <v>14</v>
      </c>
      <c r="E958" t="s">
        <v>15</v>
      </c>
      <c r="F958" s="5" t="s">
        <v>936</v>
      </c>
      <c r="G958">
        <v>29</v>
      </c>
      <c r="H958">
        <v>84</v>
      </c>
      <c r="I958">
        <v>87</v>
      </c>
      <c r="J958">
        <v>81</v>
      </c>
      <c r="K958">
        <f t="shared" si="14"/>
        <v>85.5</v>
      </c>
    </row>
    <row r="959" spans="1:11">
      <c r="A959" t="s">
        <v>11</v>
      </c>
      <c r="B959" t="s">
        <v>38</v>
      </c>
      <c r="C959" t="s">
        <v>22</v>
      </c>
      <c r="D959" t="s">
        <v>14</v>
      </c>
      <c r="E959" t="s">
        <v>15</v>
      </c>
      <c r="F959" s="5" t="s">
        <v>937</v>
      </c>
      <c r="G959">
        <v>26</v>
      </c>
      <c r="H959">
        <v>92</v>
      </c>
      <c r="I959">
        <v>100</v>
      </c>
      <c r="J959">
        <v>100</v>
      </c>
      <c r="K959">
        <f t="shared" si="14"/>
        <v>96</v>
      </c>
    </row>
    <row r="960" spans="1:11">
      <c r="A960" t="s">
        <v>11</v>
      </c>
      <c r="B960" t="s">
        <v>38</v>
      </c>
      <c r="C960" t="s">
        <v>39</v>
      </c>
      <c r="D960" t="s">
        <v>14</v>
      </c>
      <c r="E960" t="s">
        <v>15</v>
      </c>
      <c r="F960" s="5" t="s">
        <v>938</v>
      </c>
      <c r="G960">
        <v>11</v>
      </c>
      <c r="H960">
        <v>45</v>
      </c>
      <c r="I960">
        <v>63</v>
      </c>
      <c r="J960">
        <v>59</v>
      </c>
      <c r="K960">
        <f t="shared" si="14"/>
        <v>54</v>
      </c>
    </row>
    <row r="961" spans="1:11">
      <c r="A961" t="s">
        <v>24</v>
      </c>
      <c r="B961" t="s">
        <v>17</v>
      </c>
      <c r="C961" t="s">
        <v>39</v>
      </c>
      <c r="D961" t="s">
        <v>14</v>
      </c>
      <c r="E961" t="s">
        <v>15</v>
      </c>
      <c r="F961" s="5" t="s">
        <v>939</v>
      </c>
      <c r="G961">
        <v>28</v>
      </c>
      <c r="H961">
        <v>75</v>
      </c>
      <c r="I961">
        <v>81</v>
      </c>
      <c r="J961">
        <v>71</v>
      </c>
      <c r="K961">
        <f t="shared" si="14"/>
        <v>78</v>
      </c>
    </row>
    <row r="962" spans="1:11">
      <c r="A962" t="s">
        <v>11</v>
      </c>
      <c r="B962" t="s">
        <v>25</v>
      </c>
      <c r="C962" t="s">
        <v>18</v>
      </c>
      <c r="D962" t="s">
        <v>14</v>
      </c>
      <c r="E962" t="s">
        <v>15</v>
      </c>
      <c r="F962">
        <v>7.2779881299999998</v>
      </c>
      <c r="G962">
        <v>20</v>
      </c>
      <c r="H962">
        <v>56</v>
      </c>
      <c r="I962">
        <v>58</v>
      </c>
      <c r="J962">
        <v>64</v>
      </c>
      <c r="K962">
        <f t="shared" si="14"/>
        <v>57</v>
      </c>
    </row>
    <row r="963" spans="1:11">
      <c r="A963" t="s">
        <v>11</v>
      </c>
      <c r="B963" t="s">
        <v>38</v>
      </c>
      <c r="C963" t="s">
        <v>50</v>
      </c>
      <c r="D963" t="s">
        <v>27</v>
      </c>
      <c r="E963" t="s">
        <v>15</v>
      </c>
      <c r="F963" s="5" t="s">
        <v>940</v>
      </c>
      <c r="G963">
        <v>29</v>
      </c>
      <c r="H963">
        <v>48</v>
      </c>
      <c r="I963">
        <v>54</v>
      </c>
      <c r="J963">
        <v>53</v>
      </c>
      <c r="K963">
        <f t="shared" ref="K963:K1001" si="15">(H963+I963)/2</f>
        <v>51</v>
      </c>
    </row>
    <row r="964" spans="1:11">
      <c r="A964" t="s">
        <v>11</v>
      </c>
      <c r="B964" t="s">
        <v>69</v>
      </c>
      <c r="C964" t="s">
        <v>26</v>
      </c>
      <c r="D964" t="s">
        <v>14</v>
      </c>
      <c r="E964" t="s">
        <v>15</v>
      </c>
      <c r="F964" s="5" t="s">
        <v>941</v>
      </c>
      <c r="G964">
        <v>11</v>
      </c>
      <c r="H964">
        <v>100</v>
      </c>
      <c r="I964">
        <v>100</v>
      </c>
      <c r="J964">
        <v>100</v>
      </c>
      <c r="K964">
        <f t="shared" si="15"/>
        <v>100</v>
      </c>
    </row>
    <row r="965" spans="1:11">
      <c r="A965" t="s">
        <v>11</v>
      </c>
      <c r="B965" t="s">
        <v>17</v>
      </c>
      <c r="C965" t="s">
        <v>50</v>
      </c>
      <c r="D965" t="s">
        <v>27</v>
      </c>
      <c r="E965" t="s">
        <v>19</v>
      </c>
      <c r="F965" s="5" t="s">
        <v>942</v>
      </c>
      <c r="G965">
        <v>6</v>
      </c>
      <c r="H965">
        <v>65</v>
      </c>
      <c r="I965">
        <v>76</v>
      </c>
      <c r="J965">
        <v>75</v>
      </c>
      <c r="K965">
        <f t="shared" si="15"/>
        <v>70.5</v>
      </c>
    </row>
    <row r="966" spans="1:11">
      <c r="A966" t="s">
        <v>24</v>
      </c>
      <c r="B966" t="s">
        <v>38</v>
      </c>
      <c r="C966" t="s">
        <v>18</v>
      </c>
      <c r="D966" t="s">
        <v>14</v>
      </c>
      <c r="E966" t="s">
        <v>15</v>
      </c>
      <c r="F966" s="5" t="s">
        <v>943</v>
      </c>
      <c r="G966">
        <v>23</v>
      </c>
      <c r="H966">
        <v>72</v>
      </c>
      <c r="I966">
        <v>57</v>
      </c>
      <c r="J966">
        <v>58</v>
      </c>
      <c r="K966">
        <f t="shared" si="15"/>
        <v>64.5</v>
      </c>
    </row>
    <row r="967" spans="1:11">
      <c r="A967" t="s">
        <v>11</v>
      </c>
      <c r="B967" t="s">
        <v>38</v>
      </c>
      <c r="C967" t="s">
        <v>18</v>
      </c>
      <c r="D967" t="s">
        <v>14</v>
      </c>
      <c r="E967" t="s">
        <v>15</v>
      </c>
      <c r="F967" s="5" t="s">
        <v>944</v>
      </c>
      <c r="G967">
        <v>0</v>
      </c>
      <c r="H967">
        <v>62</v>
      </c>
      <c r="I967">
        <v>70</v>
      </c>
      <c r="J967">
        <v>72</v>
      </c>
      <c r="K967">
        <f t="shared" si="15"/>
        <v>66</v>
      </c>
    </row>
    <row r="968" spans="1:11">
      <c r="A968" t="s">
        <v>24</v>
      </c>
      <c r="B968" t="s">
        <v>25</v>
      </c>
      <c r="C968" t="s">
        <v>50</v>
      </c>
      <c r="D968" t="s">
        <v>14</v>
      </c>
      <c r="E968" t="s">
        <v>19</v>
      </c>
      <c r="F968" s="5" t="s">
        <v>945</v>
      </c>
      <c r="G968">
        <v>19</v>
      </c>
      <c r="H968">
        <v>66</v>
      </c>
      <c r="I968">
        <v>68</v>
      </c>
      <c r="J968">
        <v>64</v>
      </c>
      <c r="K968">
        <f t="shared" si="15"/>
        <v>67</v>
      </c>
    </row>
    <row r="969" spans="1:11">
      <c r="A969" t="s">
        <v>24</v>
      </c>
      <c r="B969" t="s">
        <v>17</v>
      </c>
      <c r="C969" t="s">
        <v>18</v>
      </c>
      <c r="D969" t="s">
        <v>14</v>
      </c>
      <c r="E969" t="s">
        <v>15</v>
      </c>
      <c r="F969" s="5" t="s">
        <v>946</v>
      </c>
      <c r="G969">
        <v>8</v>
      </c>
      <c r="H969">
        <v>63</v>
      </c>
      <c r="I969">
        <v>63</v>
      </c>
      <c r="J969">
        <v>60</v>
      </c>
      <c r="K969">
        <f t="shared" si="15"/>
        <v>63</v>
      </c>
    </row>
    <row r="970" spans="1:11">
      <c r="A970" t="s">
        <v>11</v>
      </c>
      <c r="B970" t="s">
        <v>69</v>
      </c>
      <c r="C970" t="s">
        <v>26</v>
      </c>
      <c r="D970" t="s">
        <v>14</v>
      </c>
      <c r="E970" t="s">
        <v>15</v>
      </c>
      <c r="F970" s="5" t="s">
        <v>947</v>
      </c>
      <c r="G970">
        <v>25</v>
      </c>
      <c r="H970">
        <v>68</v>
      </c>
      <c r="I970">
        <v>76</v>
      </c>
      <c r="J970">
        <v>67</v>
      </c>
      <c r="K970">
        <f t="shared" si="15"/>
        <v>72</v>
      </c>
    </row>
    <row r="971" spans="1:11">
      <c r="A971" t="s">
        <v>11</v>
      </c>
      <c r="B971" t="s">
        <v>12</v>
      </c>
      <c r="C971" t="s">
        <v>13</v>
      </c>
      <c r="D971" t="s">
        <v>14</v>
      </c>
      <c r="E971" t="s">
        <v>15</v>
      </c>
      <c r="F971" s="5" t="s">
        <v>948</v>
      </c>
      <c r="G971">
        <v>6</v>
      </c>
      <c r="H971">
        <v>75</v>
      </c>
      <c r="I971">
        <v>84</v>
      </c>
      <c r="J971">
        <v>80</v>
      </c>
      <c r="K971">
        <f t="shared" si="15"/>
        <v>79.5</v>
      </c>
    </row>
    <row r="972" spans="1:11">
      <c r="A972" t="s">
        <v>11</v>
      </c>
      <c r="B972" t="s">
        <v>38</v>
      </c>
      <c r="C972" t="s">
        <v>13</v>
      </c>
      <c r="D972" t="s">
        <v>14</v>
      </c>
      <c r="E972" t="s">
        <v>15</v>
      </c>
      <c r="F972" s="5" t="s">
        <v>949</v>
      </c>
      <c r="G972">
        <v>22</v>
      </c>
      <c r="H972">
        <v>89</v>
      </c>
      <c r="I972">
        <v>100</v>
      </c>
      <c r="J972">
        <v>100</v>
      </c>
      <c r="K972">
        <f t="shared" si="15"/>
        <v>94.5</v>
      </c>
    </row>
    <row r="973" spans="1:11">
      <c r="A973" t="s">
        <v>24</v>
      </c>
      <c r="B973" t="s">
        <v>17</v>
      </c>
      <c r="C973" t="s">
        <v>50</v>
      </c>
      <c r="D973" t="s">
        <v>14</v>
      </c>
      <c r="E973" t="s">
        <v>19</v>
      </c>
      <c r="F973" s="5" t="s">
        <v>950</v>
      </c>
      <c r="G973">
        <v>21</v>
      </c>
      <c r="H973">
        <v>78</v>
      </c>
      <c r="I973">
        <v>72</v>
      </c>
      <c r="J973">
        <v>69</v>
      </c>
      <c r="K973">
        <f t="shared" si="15"/>
        <v>75</v>
      </c>
    </row>
    <row r="974" spans="1:11">
      <c r="A974" t="s">
        <v>11</v>
      </c>
      <c r="B974" t="s">
        <v>25</v>
      </c>
      <c r="C974" t="s">
        <v>39</v>
      </c>
      <c r="D974" t="s">
        <v>27</v>
      </c>
      <c r="E974" t="s">
        <v>19</v>
      </c>
      <c r="F974" s="5" t="s">
        <v>951</v>
      </c>
      <c r="G974">
        <v>14</v>
      </c>
      <c r="H974">
        <v>53</v>
      </c>
      <c r="I974">
        <v>50</v>
      </c>
      <c r="J974">
        <v>60</v>
      </c>
      <c r="K974">
        <f t="shared" si="15"/>
        <v>51.5</v>
      </c>
    </row>
    <row r="975" spans="1:11">
      <c r="A975" t="s">
        <v>11</v>
      </c>
      <c r="B975" t="s">
        <v>38</v>
      </c>
      <c r="C975" t="s">
        <v>18</v>
      </c>
      <c r="D975" t="s">
        <v>27</v>
      </c>
      <c r="E975" t="s">
        <v>15</v>
      </c>
      <c r="F975" s="5" t="s">
        <v>952</v>
      </c>
      <c r="G975">
        <v>27</v>
      </c>
      <c r="H975">
        <v>49</v>
      </c>
      <c r="I975">
        <v>65</v>
      </c>
      <c r="J975">
        <v>61</v>
      </c>
      <c r="K975">
        <f t="shared" si="15"/>
        <v>57</v>
      </c>
    </row>
    <row r="976" spans="1:11">
      <c r="A976" t="s">
        <v>11</v>
      </c>
      <c r="B976" t="s">
        <v>25</v>
      </c>
      <c r="C976" t="s">
        <v>18</v>
      </c>
      <c r="D976" t="s">
        <v>14</v>
      </c>
      <c r="E976" t="s">
        <v>15</v>
      </c>
      <c r="F976" s="5" t="s">
        <v>953</v>
      </c>
      <c r="G976">
        <v>13</v>
      </c>
      <c r="H976">
        <v>54</v>
      </c>
      <c r="I976">
        <v>63</v>
      </c>
      <c r="J976">
        <v>67</v>
      </c>
      <c r="K976">
        <f t="shared" si="15"/>
        <v>58.5</v>
      </c>
    </row>
    <row r="977" spans="1:11">
      <c r="A977" t="s">
        <v>11</v>
      </c>
      <c r="B977" t="s">
        <v>17</v>
      </c>
      <c r="C977" t="s">
        <v>18</v>
      </c>
      <c r="D977" t="s">
        <v>14</v>
      </c>
      <c r="E977" t="s">
        <v>19</v>
      </c>
      <c r="F977" s="5" t="s">
        <v>954</v>
      </c>
      <c r="G977">
        <v>13</v>
      </c>
      <c r="H977">
        <v>64</v>
      </c>
      <c r="I977">
        <v>82</v>
      </c>
      <c r="J977">
        <v>77</v>
      </c>
      <c r="K977">
        <f t="shared" si="15"/>
        <v>73</v>
      </c>
    </row>
    <row r="978" spans="1:11">
      <c r="A978" t="s">
        <v>24</v>
      </c>
      <c r="B978" t="s">
        <v>12</v>
      </c>
      <c r="C978" t="s">
        <v>18</v>
      </c>
      <c r="D978" t="s">
        <v>27</v>
      </c>
      <c r="E978" t="s">
        <v>19</v>
      </c>
      <c r="F978" s="5" t="s">
        <v>955</v>
      </c>
      <c r="G978">
        <v>14</v>
      </c>
      <c r="H978">
        <v>60</v>
      </c>
      <c r="I978">
        <v>62</v>
      </c>
      <c r="J978">
        <v>60</v>
      </c>
      <c r="K978">
        <f t="shared" si="15"/>
        <v>61</v>
      </c>
    </row>
    <row r="979" spans="1:11">
      <c r="A979" t="s">
        <v>24</v>
      </c>
      <c r="B979" t="s">
        <v>17</v>
      </c>
      <c r="C979" t="s">
        <v>26</v>
      </c>
      <c r="D979" t="s">
        <v>14</v>
      </c>
      <c r="E979" t="s">
        <v>15</v>
      </c>
      <c r="F979" s="5" t="s">
        <v>956</v>
      </c>
      <c r="G979">
        <v>1</v>
      </c>
      <c r="H979">
        <v>62</v>
      </c>
      <c r="I979">
        <v>65</v>
      </c>
      <c r="J979">
        <v>58</v>
      </c>
      <c r="K979">
        <f t="shared" si="15"/>
        <v>63.5</v>
      </c>
    </row>
    <row r="980" spans="1:11">
      <c r="A980" t="s">
        <v>24</v>
      </c>
      <c r="B980" t="s">
        <v>38</v>
      </c>
      <c r="C980" t="s">
        <v>39</v>
      </c>
      <c r="D980" t="s">
        <v>14</v>
      </c>
      <c r="E980" t="s">
        <v>19</v>
      </c>
      <c r="F980" s="5" t="s">
        <v>957</v>
      </c>
      <c r="G980">
        <v>5</v>
      </c>
      <c r="H980">
        <v>55</v>
      </c>
      <c r="I980">
        <v>41</v>
      </c>
      <c r="J980">
        <v>48</v>
      </c>
      <c r="K980">
        <f t="shared" si="15"/>
        <v>48</v>
      </c>
    </row>
    <row r="981" spans="1:11">
      <c r="A981" t="s">
        <v>11</v>
      </c>
      <c r="B981" t="s">
        <v>17</v>
      </c>
      <c r="C981" t="s">
        <v>26</v>
      </c>
      <c r="D981" t="s">
        <v>14</v>
      </c>
      <c r="E981" t="s">
        <v>15</v>
      </c>
      <c r="F981" s="5" t="s">
        <v>958</v>
      </c>
      <c r="G981">
        <v>8</v>
      </c>
      <c r="H981">
        <v>91</v>
      </c>
      <c r="I981">
        <v>95</v>
      </c>
      <c r="J981">
        <v>94</v>
      </c>
      <c r="K981">
        <f t="shared" si="15"/>
        <v>93</v>
      </c>
    </row>
    <row r="982" spans="1:11">
      <c r="A982" t="s">
        <v>11</v>
      </c>
      <c r="B982" t="s">
        <v>12</v>
      </c>
      <c r="C982" t="s">
        <v>39</v>
      </c>
      <c r="D982" t="s">
        <v>27</v>
      </c>
      <c r="E982" t="s">
        <v>15</v>
      </c>
      <c r="F982">
        <v>8.7191598999999995E-2</v>
      </c>
      <c r="G982">
        <v>6</v>
      </c>
      <c r="H982">
        <v>8</v>
      </c>
      <c r="I982">
        <v>24</v>
      </c>
      <c r="J982">
        <v>23</v>
      </c>
      <c r="K982">
        <f t="shared" si="15"/>
        <v>16</v>
      </c>
    </row>
    <row r="983" spans="1:11">
      <c r="A983" t="s">
        <v>24</v>
      </c>
      <c r="B983" t="s">
        <v>38</v>
      </c>
      <c r="C983" t="s">
        <v>50</v>
      </c>
      <c r="D983" t="s">
        <v>14</v>
      </c>
      <c r="E983" t="s">
        <v>15</v>
      </c>
      <c r="F983" s="5" t="s">
        <v>959</v>
      </c>
      <c r="G983">
        <v>16</v>
      </c>
      <c r="H983">
        <v>81</v>
      </c>
      <c r="I983">
        <v>78</v>
      </c>
      <c r="J983">
        <v>78</v>
      </c>
      <c r="K983">
        <f t="shared" si="15"/>
        <v>79.5</v>
      </c>
    </row>
    <row r="984" spans="1:11">
      <c r="A984" t="s">
        <v>24</v>
      </c>
      <c r="B984" t="s">
        <v>12</v>
      </c>
      <c r="C984" t="s">
        <v>50</v>
      </c>
      <c r="D984" t="s">
        <v>14</v>
      </c>
      <c r="E984" t="s">
        <v>19</v>
      </c>
      <c r="F984" s="5" t="s">
        <v>960</v>
      </c>
      <c r="G984">
        <v>8</v>
      </c>
      <c r="H984">
        <v>79</v>
      </c>
      <c r="I984">
        <v>85</v>
      </c>
      <c r="J984">
        <v>86</v>
      </c>
      <c r="K984">
        <f t="shared" si="15"/>
        <v>82</v>
      </c>
    </row>
    <row r="985" spans="1:11">
      <c r="A985" t="s">
        <v>11</v>
      </c>
      <c r="B985" t="s">
        <v>25</v>
      </c>
      <c r="C985" t="s">
        <v>18</v>
      </c>
      <c r="D985" t="s">
        <v>14</v>
      </c>
      <c r="E985" t="s">
        <v>19</v>
      </c>
      <c r="F985" s="5" t="s">
        <v>961</v>
      </c>
      <c r="G985">
        <v>1</v>
      </c>
      <c r="H985">
        <v>78</v>
      </c>
      <c r="I985">
        <v>87</v>
      </c>
      <c r="J985">
        <v>91</v>
      </c>
      <c r="K985">
        <f t="shared" si="15"/>
        <v>82.5</v>
      </c>
    </row>
    <row r="986" spans="1:11">
      <c r="A986" t="s">
        <v>11</v>
      </c>
      <c r="B986" t="s">
        <v>17</v>
      </c>
      <c r="C986" t="s">
        <v>50</v>
      </c>
      <c r="D986" t="s">
        <v>14</v>
      </c>
      <c r="E986" t="s">
        <v>15</v>
      </c>
      <c r="F986" s="5" t="s">
        <v>962</v>
      </c>
      <c r="G986">
        <v>0</v>
      </c>
      <c r="H986">
        <v>74</v>
      </c>
      <c r="I986">
        <v>75</v>
      </c>
      <c r="J986">
        <v>82</v>
      </c>
      <c r="K986">
        <f t="shared" si="15"/>
        <v>74.5</v>
      </c>
    </row>
    <row r="987" spans="1:11">
      <c r="A987" t="s">
        <v>24</v>
      </c>
      <c r="B987" t="s">
        <v>25</v>
      </c>
      <c r="C987" t="s">
        <v>39</v>
      </c>
      <c r="D987" t="s">
        <v>14</v>
      </c>
      <c r="E987" t="s">
        <v>15</v>
      </c>
      <c r="F987" s="5" t="s">
        <v>963</v>
      </c>
      <c r="G987">
        <v>20</v>
      </c>
      <c r="H987">
        <v>57</v>
      </c>
      <c r="I987">
        <v>51</v>
      </c>
      <c r="J987">
        <v>54</v>
      </c>
      <c r="K987">
        <f t="shared" si="15"/>
        <v>54</v>
      </c>
    </row>
    <row r="988" spans="1:11">
      <c r="A988" t="s">
        <v>11</v>
      </c>
      <c r="B988" t="s">
        <v>17</v>
      </c>
      <c r="C988" t="s">
        <v>26</v>
      </c>
      <c r="D988" t="s">
        <v>14</v>
      </c>
      <c r="E988" t="s">
        <v>15</v>
      </c>
      <c r="F988" s="5" t="s">
        <v>964</v>
      </c>
      <c r="G988">
        <v>3</v>
      </c>
      <c r="H988">
        <v>40</v>
      </c>
      <c r="I988">
        <v>59</v>
      </c>
      <c r="J988">
        <v>51</v>
      </c>
      <c r="K988">
        <f t="shared" si="15"/>
        <v>49.5</v>
      </c>
    </row>
    <row r="989" spans="1:11">
      <c r="A989" t="s">
        <v>24</v>
      </c>
      <c r="B989" t="s">
        <v>69</v>
      </c>
      <c r="C989" t="s">
        <v>50</v>
      </c>
      <c r="D989" t="s">
        <v>14</v>
      </c>
      <c r="E989" t="s">
        <v>19</v>
      </c>
      <c r="F989" s="5" t="s">
        <v>965</v>
      </c>
      <c r="G989">
        <v>27</v>
      </c>
      <c r="H989">
        <v>81</v>
      </c>
      <c r="I989">
        <v>75</v>
      </c>
      <c r="J989">
        <v>76</v>
      </c>
      <c r="K989">
        <f t="shared" si="15"/>
        <v>78</v>
      </c>
    </row>
    <row r="990" spans="1:11">
      <c r="A990" t="s">
        <v>11</v>
      </c>
      <c r="B990" t="s">
        <v>25</v>
      </c>
      <c r="C990" t="s">
        <v>50</v>
      </c>
      <c r="D990" t="s">
        <v>27</v>
      </c>
      <c r="E990" t="s">
        <v>15</v>
      </c>
      <c r="F990" s="5" t="s">
        <v>966</v>
      </c>
      <c r="G990">
        <v>11</v>
      </c>
      <c r="H990">
        <v>44</v>
      </c>
      <c r="I990">
        <v>45</v>
      </c>
      <c r="J990">
        <v>45</v>
      </c>
      <c r="K990">
        <f t="shared" si="15"/>
        <v>44.5</v>
      </c>
    </row>
    <row r="991" spans="1:11">
      <c r="A991" t="s">
        <v>11</v>
      </c>
      <c r="B991" t="s">
        <v>38</v>
      </c>
      <c r="C991" t="s">
        <v>18</v>
      </c>
      <c r="D991" t="s">
        <v>27</v>
      </c>
      <c r="E991" t="s">
        <v>19</v>
      </c>
      <c r="F991" s="5" t="s">
        <v>967</v>
      </c>
      <c r="G991">
        <v>7</v>
      </c>
      <c r="H991">
        <v>67</v>
      </c>
      <c r="I991">
        <v>86</v>
      </c>
      <c r="J991">
        <v>83</v>
      </c>
      <c r="K991">
        <f t="shared" si="15"/>
        <v>76.5</v>
      </c>
    </row>
    <row r="992" spans="1:11">
      <c r="A992" t="s">
        <v>24</v>
      </c>
      <c r="B992" t="s">
        <v>69</v>
      </c>
      <c r="C992" t="s">
        <v>39</v>
      </c>
      <c r="D992" t="s">
        <v>27</v>
      </c>
      <c r="E992" t="s">
        <v>19</v>
      </c>
      <c r="F992" s="5" t="s">
        <v>968</v>
      </c>
      <c r="G992">
        <v>2</v>
      </c>
      <c r="H992">
        <v>86</v>
      </c>
      <c r="I992">
        <v>81</v>
      </c>
      <c r="J992">
        <v>75</v>
      </c>
      <c r="K992">
        <f t="shared" si="15"/>
        <v>83.5</v>
      </c>
    </row>
    <row r="993" spans="1:11">
      <c r="A993" t="s">
        <v>11</v>
      </c>
      <c r="B993" t="s">
        <v>12</v>
      </c>
      <c r="C993" t="s">
        <v>50</v>
      </c>
      <c r="D993" t="s">
        <v>14</v>
      </c>
      <c r="E993" t="s">
        <v>19</v>
      </c>
      <c r="F993" s="5" t="s">
        <v>969</v>
      </c>
      <c r="G993">
        <v>11</v>
      </c>
      <c r="H993">
        <v>65</v>
      </c>
      <c r="I993">
        <v>82</v>
      </c>
      <c r="J993">
        <v>78</v>
      </c>
      <c r="K993">
        <f t="shared" si="15"/>
        <v>73.5</v>
      </c>
    </row>
    <row r="994" spans="1:11">
      <c r="A994" t="s">
        <v>11</v>
      </c>
      <c r="B994" t="s">
        <v>38</v>
      </c>
      <c r="C994" t="s">
        <v>26</v>
      </c>
      <c r="D994" t="s">
        <v>27</v>
      </c>
      <c r="E994" t="s">
        <v>15</v>
      </c>
      <c r="F994" s="5" t="s">
        <v>970</v>
      </c>
      <c r="G994">
        <v>15</v>
      </c>
      <c r="H994">
        <v>55</v>
      </c>
      <c r="I994">
        <v>76</v>
      </c>
      <c r="J994">
        <v>76</v>
      </c>
      <c r="K994">
        <f t="shared" si="15"/>
        <v>65.5</v>
      </c>
    </row>
    <row r="995" spans="1:11">
      <c r="A995" t="s">
        <v>11</v>
      </c>
      <c r="B995" t="s">
        <v>38</v>
      </c>
      <c r="C995" t="s">
        <v>13</v>
      </c>
      <c r="D995" t="s">
        <v>27</v>
      </c>
      <c r="E995" t="s">
        <v>15</v>
      </c>
      <c r="F995" s="5" t="s">
        <v>971</v>
      </c>
      <c r="G995">
        <v>2</v>
      </c>
      <c r="H995">
        <v>62</v>
      </c>
      <c r="I995">
        <v>72</v>
      </c>
      <c r="J995">
        <v>74</v>
      </c>
      <c r="K995">
        <f t="shared" si="15"/>
        <v>67</v>
      </c>
    </row>
    <row r="996" spans="1:11">
      <c r="A996" t="s">
        <v>24</v>
      </c>
      <c r="B996" t="s">
        <v>25</v>
      </c>
      <c r="C996" t="s">
        <v>39</v>
      </c>
      <c r="D996" t="s">
        <v>14</v>
      </c>
      <c r="E996" t="s">
        <v>15</v>
      </c>
      <c r="F996" s="5" t="s">
        <v>972</v>
      </c>
      <c r="G996">
        <v>23</v>
      </c>
      <c r="H996">
        <v>63</v>
      </c>
      <c r="I996">
        <v>63</v>
      </c>
      <c r="J996">
        <v>62</v>
      </c>
      <c r="K996">
        <f t="shared" si="15"/>
        <v>63</v>
      </c>
    </row>
    <row r="997" spans="1:11">
      <c r="A997" t="s">
        <v>11</v>
      </c>
      <c r="B997" t="s">
        <v>69</v>
      </c>
      <c r="C997" t="s">
        <v>22</v>
      </c>
      <c r="D997" t="s">
        <v>14</v>
      </c>
      <c r="E997" t="s">
        <v>19</v>
      </c>
      <c r="F997" s="5" t="s">
        <v>973</v>
      </c>
      <c r="G997">
        <v>4</v>
      </c>
      <c r="H997">
        <v>88</v>
      </c>
      <c r="I997">
        <v>99</v>
      </c>
      <c r="J997">
        <v>95</v>
      </c>
      <c r="K997">
        <f t="shared" si="15"/>
        <v>93.5</v>
      </c>
    </row>
    <row r="998" spans="1:11">
      <c r="A998" t="s">
        <v>24</v>
      </c>
      <c r="B998" t="s">
        <v>17</v>
      </c>
      <c r="C998" t="s">
        <v>39</v>
      </c>
      <c r="D998" t="s">
        <v>27</v>
      </c>
      <c r="E998" t="s">
        <v>15</v>
      </c>
      <c r="F998" s="5" t="s">
        <v>974</v>
      </c>
      <c r="G998">
        <v>12</v>
      </c>
      <c r="H998">
        <v>62</v>
      </c>
      <c r="I998">
        <v>55</v>
      </c>
      <c r="J998">
        <v>55</v>
      </c>
      <c r="K998">
        <f t="shared" si="15"/>
        <v>58.5</v>
      </c>
    </row>
    <row r="999" spans="1:11">
      <c r="A999" t="s">
        <v>11</v>
      </c>
      <c r="B999" t="s">
        <v>17</v>
      </c>
      <c r="C999" t="s">
        <v>39</v>
      </c>
      <c r="D999" t="s">
        <v>27</v>
      </c>
      <c r="E999" t="s">
        <v>19</v>
      </c>
      <c r="F999" s="5" t="s">
        <v>975</v>
      </c>
      <c r="G999">
        <v>5</v>
      </c>
      <c r="H999">
        <v>59</v>
      </c>
      <c r="I999">
        <v>71</v>
      </c>
      <c r="J999">
        <v>65</v>
      </c>
      <c r="K999">
        <f t="shared" si="15"/>
        <v>65</v>
      </c>
    </row>
    <row r="1000" spans="1:11">
      <c r="A1000" t="s">
        <v>11</v>
      </c>
      <c r="B1000" t="s">
        <v>38</v>
      </c>
      <c r="C1000" t="s">
        <v>18</v>
      </c>
      <c r="D1000" t="s">
        <v>14</v>
      </c>
      <c r="E1000" t="s">
        <v>19</v>
      </c>
      <c r="F1000" s="5" t="s">
        <v>976</v>
      </c>
      <c r="G1000">
        <v>5</v>
      </c>
      <c r="H1000">
        <v>68</v>
      </c>
      <c r="I1000">
        <v>78</v>
      </c>
      <c r="J1000">
        <v>77</v>
      </c>
      <c r="K1000">
        <f t="shared" si="15"/>
        <v>73</v>
      </c>
    </row>
    <row r="1001" spans="1:11">
      <c r="A1001" t="s">
        <v>11</v>
      </c>
      <c r="B1001" t="s">
        <v>38</v>
      </c>
      <c r="C1001" t="s">
        <v>18</v>
      </c>
      <c r="D1001" t="s">
        <v>27</v>
      </c>
      <c r="E1001" t="s">
        <v>15</v>
      </c>
      <c r="F1001" s="5" t="s">
        <v>977</v>
      </c>
      <c r="G1001">
        <v>5</v>
      </c>
      <c r="H1001">
        <v>77</v>
      </c>
      <c r="I1001">
        <v>86</v>
      </c>
      <c r="J1001">
        <v>86</v>
      </c>
      <c r="K1001">
        <f t="shared" si="15"/>
        <v>81.5</v>
      </c>
    </row>
  </sheetData>
  <dataConsolidate/>
  <mergeCells count="1">
    <mergeCell ref="N5:O5"/>
  </mergeCells>
  <phoneticPr fontId="2" type="noConversion"/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D68A-4D09-4AE0-8F90-778EEC9BA666}">
  <dimension ref="A1:G21"/>
  <sheetViews>
    <sheetView workbookViewId="0">
      <selection sqref="A1:B21"/>
    </sheetView>
  </sheetViews>
  <sheetFormatPr defaultRowHeight="15"/>
  <cols>
    <col min="1" max="1" width="18" bestFit="1" customWidth="1"/>
    <col min="2" max="2" width="12.7109375" bestFit="1" customWidth="1"/>
    <col min="7" max="8" width="12" bestFit="1" customWidth="1"/>
  </cols>
  <sheetData>
    <row r="1" spans="1:7">
      <c r="A1" s="11" t="s">
        <v>7</v>
      </c>
      <c r="B1" s="11"/>
      <c r="C1" t="s">
        <v>978</v>
      </c>
    </row>
    <row r="3" spans="1:7">
      <c r="A3" t="s">
        <v>979</v>
      </c>
      <c r="B3">
        <v>66.088999999999999</v>
      </c>
    </row>
    <row r="4" spans="1:7">
      <c r="A4" t="s">
        <v>37</v>
      </c>
      <c r="B4">
        <v>0.47949869446954485</v>
      </c>
    </row>
    <row r="5" spans="1:7">
      <c r="A5" t="s">
        <v>980</v>
      </c>
      <c r="B5">
        <v>66</v>
      </c>
    </row>
    <row r="6" spans="1:7">
      <c r="A6" t="s">
        <v>981</v>
      </c>
      <c r="B6">
        <v>65</v>
      </c>
    </row>
    <row r="7" spans="1:7">
      <c r="A7" t="s">
        <v>982</v>
      </c>
      <c r="B7">
        <v>15.163080096009448</v>
      </c>
    </row>
    <row r="8" spans="1:7">
      <c r="A8" t="s">
        <v>983</v>
      </c>
      <c r="B8">
        <v>229.91899799799791</v>
      </c>
      <c r="D8" t="s">
        <v>984</v>
      </c>
      <c r="F8">
        <f>_xlfn.CONFIDENCE.NORM(0.05,B7,B15)</f>
        <v>0.93980017179428288</v>
      </c>
    </row>
    <row r="9" spans="1:7">
      <c r="A9" t="s">
        <v>985</v>
      </c>
      <c r="B9">
        <v>0.27496405752106856</v>
      </c>
      <c r="D9" t="s">
        <v>986</v>
      </c>
      <c r="F9">
        <f>B3-F8</f>
        <v>65.14919982820571</v>
      </c>
      <c r="G9">
        <f>B3+F8</f>
        <v>67.028800171794288</v>
      </c>
    </row>
    <row r="10" spans="1:7">
      <c r="A10" t="s">
        <v>987</v>
      </c>
      <c r="B10">
        <v>-0.27893514909431566</v>
      </c>
    </row>
    <row r="11" spans="1:7">
      <c r="A11" t="s">
        <v>988</v>
      </c>
      <c r="B11">
        <v>100</v>
      </c>
      <c r="D11" t="s">
        <v>989</v>
      </c>
    </row>
    <row r="12" spans="1:7">
      <c r="A12" t="s">
        <v>990</v>
      </c>
      <c r="B12">
        <v>0</v>
      </c>
    </row>
    <row r="13" spans="1:7">
      <c r="A13" t="s">
        <v>991</v>
      </c>
      <c r="B13">
        <v>100</v>
      </c>
    </row>
    <row r="14" spans="1:7">
      <c r="A14" t="s">
        <v>992</v>
      </c>
      <c r="B14">
        <v>66089</v>
      </c>
    </row>
    <row r="15" spans="1:7" ht="15.75" thickBot="1">
      <c r="A15" s="4" t="s">
        <v>993</v>
      </c>
      <c r="B15" s="4">
        <v>1000</v>
      </c>
    </row>
    <row r="17" spans="1:2">
      <c r="A17" t="s">
        <v>990</v>
      </c>
      <c r="B17">
        <f>MIN('Math Scores Descriptive Stats'!H2:H1001)</f>
        <v>0</v>
      </c>
    </row>
    <row r="18" spans="1:2">
      <c r="A18" t="s">
        <v>994</v>
      </c>
      <c r="B18">
        <f>_xlfn.QUARTILE.INC('Data Set'!H2:H1001,1)</f>
        <v>57</v>
      </c>
    </row>
    <row r="19" spans="1:2">
      <c r="A19" t="s">
        <v>980</v>
      </c>
      <c r="B19">
        <f>B5</f>
        <v>66</v>
      </c>
    </row>
    <row r="20" spans="1:2">
      <c r="A20" t="s">
        <v>995</v>
      </c>
      <c r="B20">
        <f>_xlfn.QUARTILE.INC('Data Set'!H4:H1003,3)</f>
        <v>77</v>
      </c>
    </row>
    <row r="21" spans="1:2">
      <c r="A21" t="s">
        <v>991</v>
      </c>
      <c r="B21">
        <f>B13</f>
        <v>100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CA2B7-8FA3-4125-87F0-B9F11A1E9EFE}">
  <dimension ref="A1:G21"/>
  <sheetViews>
    <sheetView tabSelected="1" workbookViewId="0">
      <selection activeCell="C2" sqref="C2"/>
    </sheetView>
  </sheetViews>
  <sheetFormatPr defaultRowHeight="15"/>
  <cols>
    <col min="1" max="1" width="18" bestFit="1" customWidth="1"/>
    <col min="2" max="2" width="12.7109375" bestFit="1" customWidth="1"/>
    <col min="6" max="7" width="12" bestFit="1" customWidth="1"/>
  </cols>
  <sheetData>
    <row r="1" spans="1:7">
      <c r="A1" s="11" t="s">
        <v>8</v>
      </c>
      <c r="B1" s="11"/>
      <c r="C1" t="s">
        <v>996</v>
      </c>
    </row>
    <row r="3" spans="1:7">
      <c r="A3" t="s">
        <v>979</v>
      </c>
      <c r="B3">
        <v>69.168999999999997</v>
      </c>
    </row>
    <row r="4" spans="1:7">
      <c r="A4" t="s">
        <v>37</v>
      </c>
      <c r="B4">
        <v>0.46169860797343204</v>
      </c>
    </row>
    <row r="5" spans="1:7">
      <c r="A5" t="s">
        <v>980</v>
      </c>
      <c r="B5">
        <v>70</v>
      </c>
    </row>
    <row r="6" spans="1:7">
      <c r="A6" t="s">
        <v>981</v>
      </c>
      <c r="B6">
        <v>72</v>
      </c>
    </row>
    <row r="7" spans="1:7">
      <c r="A7" t="s">
        <v>982</v>
      </c>
      <c r="B7">
        <v>14.600191937252225</v>
      </c>
    </row>
    <row r="8" spans="1:7">
      <c r="A8" t="s">
        <v>983</v>
      </c>
      <c r="B8">
        <v>213.16560460460485</v>
      </c>
      <c r="D8" t="s">
        <v>997</v>
      </c>
      <c r="F8">
        <f>_xlfn.CONFIDENCE.NORM(0.05,B7,B15)</f>
        <v>0.90491264334020405</v>
      </c>
    </row>
    <row r="9" spans="1:7">
      <c r="A9" t="s">
        <v>985</v>
      </c>
      <c r="B9">
        <v>-6.8265458564776171E-2</v>
      </c>
      <c r="D9" t="s">
        <v>986</v>
      </c>
      <c r="F9">
        <f>B3-F8</f>
        <v>68.264087356659786</v>
      </c>
      <c r="G9">
        <f>B3+F8</f>
        <v>70.073912643340208</v>
      </c>
    </row>
    <row r="10" spans="1:7">
      <c r="A10" t="s">
        <v>987</v>
      </c>
      <c r="B10">
        <v>-0.25910451810923019</v>
      </c>
    </row>
    <row r="11" spans="1:7">
      <c r="A11" t="s">
        <v>988</v>
      </c>
      <c r="B11">
        <v>83</v>
      </c>
      <c r="D11" t="s">
        <v>998</v>
      </c>
    </row>
    <row r="12" spans="1:7">
      <c r="A12" t="s">
        <v>990</v>
      </c>
      <c r="B12">
        <v>17</v>
      </c>
    </row>
    <row r="13" spans="1:7">
      <c r="A13" t="s">
        <v>991</v>
      </c>
      <c r="B13">
        <v>100</v>
      </c>
    </row>
    <row r="14" spans="1:7">
      <c r="A14" t="s">
        <v>992</v>
      </c>
      <c r="B14">
        <v>69169</v>
      </c>
    </row>
    <row r="15" spans="1:7" ht="15.75" thickBot="1">
      <c r="A15" s="4" t="s">
        <v>993</v>
      </c>
      <c r="B15" s="4">
        <v>1000</v>
      </c>
    </row>
    <row r="17" spans="1:2">
      <c r="A17" t="s">
        <v>990</v>
      </c>
      <c r="B17">
        <f>B12</f>
        <v>17</v>
      </c>
    </row>
    <row r="18" spans="1:2">
      <c r="A18" t="s">
        <v>994</v>
      </c>
      <c r="B18">
        <f>_xlfn.QUARTILE.INC('Data Set'!I2:I1001,1)</f>
        <v>59</v>
      </c>
    </row>
    <row r="19" spans="1:2">
      <c r="A19" t="s">
        <v>980</v>
      </c>
      <c r="B19">
        <f>B5</f>
        <v>70</v>
      </c>
    </row>
    <row r="20" spans="1:2">
      <c r="A20" t="s">
        <v>995</v>
      </c>
      <c r="B20">
        <f>_xlfn.QUARTILE.INC('Data Set'!I4:I1003,3)</f>
        <v>79</v>
      </c>
    </row>
    <row r="21" spans="1:2">
      <c r="A21" t="s">
        <v>991</v>
      </c>
      <c r="B21">
        <f>B13</f>
        <v>100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83D1-4C65-45C3-A021-42562D3CA1C3}">
  <dimension ref="A1:I18"/>
  <sheetViews>
    <sheetView workbookViewId="0"/>
  </sheetViews>
  <sheetFormatPr defaultRowHeight="15"/>
  <cols>
    <col min="1" max="1" width="16.42578125" bestFit="1" customWidth="1"/>
    <col min="2" max="2" width="12.7109375" bestFit="1" customWidth="1"/>
    <col min="3" max="3" width="13.140625" bestFit="1" customWidth="1"/>
    <col min="4" max="5" width="12.28515625" bestFit="1" customWidth="1"/>
    <col min="6" max="6" width="12.7109375" bestFit="1" customWidth="1"/>
    <col min="7" max="7" width="12.28515625" bestFit="1" customWidth="1"/>
    <col min="8" max="8" width="12.7109375" bestFit="1" customWidth="1"/>
    <col min="9" max="9" width="12.28515625" bestFit="1" customWidth="1"/>
  </cols>
  <sheetData>
    <row r="1" spans="1:9">
      <c r="A1" s="12" t="s">
        <v>999</v>
      </c>
      <c r="B1" s="12"/>
    </row>
    <row r="3" spans="1:9">
      <c r="A3" s="13" t="s">
        <v>1000</v>
      </c>
      <c r="B3" s="13"/>
    </row>
    <row r="4" spans="1:9">
      <c r="A4" t="s">
        <v>1001</v>
      </c>
      <c r="B4">
        <v>1.3531122179548752E-2</v>
      </c>
    </row>
    <row r="5" spans="1:9">
      <c r="A5" t="s">
        <v>1002</v>
      </c>
      <c r="B5">
        <v>1.8309126743787618E-4</v>
      </c>
    </row>
    <row r="6" spans="1:9">
      <c r="A6" t="s">
        <v>1003</v>
      </c>
      <c r="B6">
        <v>-8.1872928239435044E-4</v>
      </c>
    </row>
    <row r="7" spans="1:9">
      <c r="A7" t="s">
        <v>37</v>
      </c>
      <c r="B7">
        <v>15.201876302830989</v>
      </c>
    </row>
    <row r="8" spans="1:9">
      <c r="A8" s="4" t="s">
        <v>1004</v>
      </c>
      <c r="B8" s="4">
        <v>1000</v>
      </c>
    </row>
    <row r="10" spans="1:9">
      <c r="A10" t="s">
        <v>1005</v>
      </c>
    </row>
    <row r="11" spans="1:9">
      <c r="A11" s="6"/>
      <c r="B11" s="6" t="s">
        <v>1006</v>
      </c>
      <c r="C11" s="6" t="s">
        <v>1007</v>
      </c>
      <c r="D11" s="6" t="s">
        <v>1008</v>
      </c>
      <c r="E11" s="6" t="s">
        <v>1009</v>
      </c>
      <c r="F11" s="6" t="s">
        <v>1010</v>
      </c>
    </row>
    <row r="12" spans="1:9">
      <c r="A12" t="s">
        <v>1011</v>
      </c>
      <c r="B12">
        <v>1</v>
      </c>
      <c r="C12">
        <v>42.23495967843337</v>
      </c>
      <c r="D12">
        <v>42.23495967843337</v>
      </c>
      <c r="E12">
        <v>0.18275854639689534</v>
      </c>
      <c r="F12">
        <v>0.66910545150733514</v>
      </c>
    </row>
    <row r="13" spans="1:9">
      <c r="A13" t="s">
        <v>1012</v>
      </c>
      <c r="B13">
        <v>998</v>
      </c>
      <c r="C13">
        <v>230634.84904032125</v>
      </c>
      <c r="D13">
        <v>231.09704312657439</v>
      </c>
    </row>
    <row r="14" spans="1:9">
      <c r="A14" s="4" t="s">
        <v>1013</v>
      </c>
      <c r="B14" s="4">
        <v>999</v>
      </c>
      <c r="C14" s="4">
        <v>230677.08399999968</v>
      </c>
      <c r="D14" s="4"/>
      <c r="E14" s="4"/>
      <c r="F14" s="4"/>
    </row>
    <row r="16" spans="1:9">
      <c r="A16" s="6"/>
      <c r="B16" s="6" t="s">
        <v>1014</v>
      </c>
      <c r="C16" s="6" t="s">
        <v>37</v>
      </c>
      <c r="D16" s="6" t="s">
        <v>1015</v>
      </c>
      <c r="E16" s="6" t="s">
        <v>1016</v>
      </c>
      <c r="F16" s="6" t="s">
        <v>1017</v>
      </c>
      <c r="G16" s="6" t="s">
        <v>1018</v>
      </c>
      <c r="H16" s="6" t="s">
        <v>1019</v>
      </c>
      <c r="I16" s="6" t="s">
        <v>1020</v>
      </c>
    </row>
    <row r="17" spans="1:9">
      <c r="A17" t="s">
        <v>1021</v>
      </c>
      <c r="B17">
        <v>67.702322650005513</v>
      </c>
      <c r="C17">
        <v>0.95279604254102035</v>
      </c>
      <c r="D17">
        <v>71.056469199273309</v>
      </c>
      <c r="E17">
        <v>0</v>
      </c>
      <c r="F17">
        <v>65.832609199225857</v>
      </c>
      <c r="G17">
        <v>69.572036100785169</v>
      </c>
      <c r="H17">
        <v>65.832609199225857</v>
      </c>
      <c r="I17">
        <v>69.572036100785169</v>
      </c>
    </row>
    <row r="18" spans="1:9">
      <c r="A18" s="4" t="s">
        <v>1022</v>
      </c>
      <c r="B18" s="4">
        <v>2.4228546331001879E-2</v>
      </c>
      <c r="C18" s="4">
        <v>5.6674606110463856E-2</v>
      </c>
      <c r="D18" s="4">
        <v>0.42750268583743278</v>
      </c>
      <c r="E18" s="4">
        <v>0.66910545150620826</v>
      </c>
      <c r="F18" s="4">
        <v>-8.6986518206601693E-2</v>
      </c>
      <c r="G18" s="4">
        <v>0.13544361086860546</v>
      </c>
      <c r="H18" s="4">
        <v>-8.6986518206601693E-2</v>
      </c>
      <c r="I18" s="4">
        <v>0.13544361086860546</v>
      </c>
    </row>
  </sheetData>
  <mergeCells count="2">
    <mergeCell ref="A1:B1"/>
    <mergeCell ref="A3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5F2F0-A153-44BB-BCA2-D2CFC7A15D3B}">
  <dimension ref="A1:D21"/>
  <sheetViews>
    <sheetView workbookViewId="0">
      <selection activeCell="F9" sqref="F9"/>
    </sheetView>
  </sheetViews>
  <sheetFormatPr defaultColWidth="8.85546875" defaultRowHeight="15"/>
  <cols>
    <col min="1" max="1" width="22.140625" bestFit="1" customWidth="1"/>
    <col min="2" max="2" width="16.42578125" bestFit="1" customWidth="1"/>
    <col min="3" max="3" width="17.85546875" bestFit="1" customWidth="1"/>
    <col min="4" max="4" width="18.42578125" bestFit="1" customWidth="1"/>
  </cols>
  <sheetData>
    <row r="1" spans="1:4">
      <c r="A1" s="1" t="s">
        <v>1023</v>
      </c>
      <c r="B1" t="s" vm="1">
        <v>1024</v>
      </c>
    </row>
    <row r="2" spans="1:4">
      <c r="A2" s="1" t="s">
        <v>1025</v>
      </c>
      <c r="B2" t="s" vm="2">
        <v>1024</v>
      </c>
    </row>
    <row r="3" spans="1:4">
      <c r="A3" s="1" t="s">
        <v>1026</v>
      </c>
      <c r="B3" t="s" vm="3">
        <v>1024</v>
      </c>
    </row>
    <row r="5" spans="1:4">
      <c r="A5" s="1" t="s">
        <v>46</v>
      </c>
      <c r="B5" t="s">
        <v>1027</v>
      </c>
      <c r="C5" t="s">
        <v>1028</v>
      </c>
      <c r="D5" t="s">
        <v>1029</v>
      </c>
    </row>
    <row r="6" spans="1:4">
      <c r="A6" s="2" t="s">
        <v>25</v>
      </c>
    </row>
    <row r="7" spans="1:4">
      <c r="A7" s="3" t="s">
        <v>11</v>
      </c>
      <c r="B7">
        <v>2107</v>
      </c>
      <c r="C7">
        <v>2443</v>
      </c>
      <c r="D7">
        <v>2484</v>
      </c>
    </row>
    <row r="8" spans="1:4">
      <c r="A8" s="3" t="s">
        <v>24</v>
      </c>
      <c r="B8">
        <v>3378</v>
      </c>
      <c r="C8">
        <v>3135</v>
      </c>
      <c r="D8">
        <v>3272</v>
      </c>
    </row>
    <row r="9" spans="1:4">
      <c r="A9" s="2" t="s">
        <v>12</v>
      </c>
    </row>
    <row r="10" spans="1:4">
      <c r="A10" s="3" t="s">
        <v>11</v>
      </c>
      <c r="B10">
        <v>6386</v>
      </c>
      <c r="C10">
        <v>7285</v>
      </c>
      <c r="D10">
        <v>7392</v>
      </c>
    </row>
    <row r="11" spans="1:4">
      <c r="A11" s="3" t="s">
        <v>24</v>
      </c>
      <c r="B11">
        <v>5670</v>
      </c>
      <c r="C11">
        <v>5179</v>
      </c>
      <c r="D11">
        <v>5405</v>
      </c>
    </row>
    <row r="12" spans="1:4">
      <c r="A12" s="2" t="s">
        <v>17</v>
      </c>
    </row>
    <row r="13" spans="1:4">
      <c r="A13" s="3" t="s">
        <v>11</v>
      </c>
      <c r="B13">
        <v>11166</v>
      </c>
      <c r="C13">
        <v>12920</v>
      </c>
      <c r="D13">
        <v>12950</v>
      </c>
    </row>
    <row r="14" spans="1:4">
      <c r="A14" s="3" t="s">
        <v>24</v>
      </c>
      <c r="B14">
        <v>9398</v>
      </c>
      <c r="C14">
        <v>8717</v>
      </c>
      <c r="D14">
        <v>9094</v>
      </c>
    </row>
    <row r="15" spans="1:4">
      <c r="A15" s="2" t="s">
        <v>38</v>
      </c>
    </row>
    <row r="16" spans="1:4">
      <c r="A16" s="3" t="s">
        <v>11</v>
      </c>
      <c r="B16">
        <v>8417</v>
      </c>
      <c r="C16">
        <v>9678</v>
      </c>
      <c r="D16">
        <v>9552</v>
      </c>
    </row>
    <row r="17" spans="1:4">
      <c r="A17" s="3" t="s">
        <v>24</v>
      </c>
      <c r="B17">
        <v>9232</v>
      </c>
      <c r="C17">
        <v>8700</v>
      </c>
      <c r="D17">
        <v>8796</v>
      </c>
    </row>
    <row r="18" spans="1:4">
      <c r="A18" s="2" t="s">
        <v>69</v>
      </c>
    </row>
    <row r="19" spans="1:4">
      <c r="A19" s="3" t="s">
        <v>11</v>
      </c>
      <c r="B19">
        <v>4886</v>
      </c>
      <c r="C19">
        <v>5212</v>
      </c>
      <c r="D19">
        <v>5233</v>
      </c>
    </row>
    <row r="20" spans="1:4">
      <c r="A20" s="3" t="s">
        <v>24</v>
      </c>
      <c r="B20">
        <v>5449</v>
      </c>
      <c r="C20">
        <v>4785</v>
      </c>
      <c r="D20">
        <v>4991</v>
      </c>
    </row>
    <row r="21" spans="1:4">
      <c r="A21" s="2" t="s">
        <v>56</v>
      </c>
      <c r="B21">
        <v>66089</v>
      </c>
      <c r="C21">
        <v>68054</v>
      </c>
      <c r="D21">
        <v>69169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b2725d-e018-4a73-bf87-24f822606f0e" xsi:nil="true"/>
  </documentManagement>
</p:properties>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59532BB4EE6740808437EF7F7DD810" ma:contentTypeVersion="9" ma:contentTypeDescription="Create a new document." ma:contentTypeScope="" ma:versionID="31bfca3279ddd5d8661804bc5e6a38e4">
  <xsd:schema xmlns:xsd="http://www.w3.org/2001/XMLSchema" xmlns:xs="http://www.w3.org/2001/XMLSchema" xmlns:p="http://schemas.microsoft.com/office/2006/metadata/properties" xmlns:ns3="04b2725d-e018-4a73-bf87-24f822606f0e" targetNamespace="http://schemas.microsoft.com/office/2006/metadata/properties" ma:root="true" ma:fieldsID="dae5b7513ee4f69de95cc0dfc631abfa" ns3:_="">
    <xsd:import namespace="04b2725d-e018-4a73-bf87-24f822606f0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b2725d-e018-4a73-bf87-24f822606f0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258356A3-64BD-4728-AB9F-31A207E8969E}"/>
</file>

<file path=customXml/itemProps2.xml><?xml version="1.0" encoding="utf-8"?>
<ds:datastoreItem xmlns:ds="http://schemas.openxmlformats.org/officeDocument/2006/customXml" ds:itemID="{40EEAAD7-30E8-432D-9A94-22135111892C}"/>
</file>

<file path=customXml/itemProps3.xml><?xml version="1.0" encoding="utf-8"?>
<ds:datastoreItem xmlns:ds="http://schemas.openxmlformats.org/officeDocument/2006/customXml" ds:itemID="{FC8C80FF-7984-4B9C-B082-47F8E021A5CF}"/>
</file>

<file path=customXml/itemProps4.xml><?xml version="1.0" encoding="utf-8"?>
<ds:datastoreItem xmlns:ds="http://schemas.openxmlformats.org/officeDocument/2006/customXml" ds:itemID="{C20C5E77-D49B-4DBA-BE05-A251D4DF4BCD}"/>
</file>

<file path=customXml/itemProps5.xml><?xml version="1.0" encoding="utf-8"?>
<ds:datastoreItem xmlns:ds="http://schemas.openxmlformats.org/officeDocument/2006/customXml" ds:itemID="{C0766A97-AC79-4F51-93FD-B45B2682E482}"/>
</file>

<file path=customXml/itemProps6.xml><?xml version="1.0" encoding="utf-8"?>
<ds:datastoreItem xmlns:ds="http://schemas.openxmlformats.org/officeDocument/2006/customXml" ds:itemID="{02FF7D19-8A10-450D-8B9F-D804E07FAD08}"/>
</file>

<file path=customXml/itemProps7.xml><?xml version="1.0" encoding="utf-8"?>
<ds:datastoreItem xmlns:ds="http://schemas.openxmlformats.org/officeDocument/2006/customXml" ds:itemID="{68BAB014-99E4-4AAB-846D-AD2CD79530DB}"/>
</file>

<file path=customXml/itemProps8.xml><?xml version="1.0" encoding="utf-8"?>
<ds:datastoreItem xmlns:ds="http://schemas.openxmlformats.org/officeDocument/2006/customXml" ds:itemID="{5567703D-1377-4102-B337-0590AC08DEC9}"/>
</file>

<file path=customXml/itemProps9.xml><?xml version="1.0" encoding="utf-8"?>
<ds:datastoreItem xmlns:ds="http://schemas.openxmlformats.org/officeDocument/2006/customXml" ds:itemID="{CCCB40A3-B174-4BF8-94A0-D432471D43FF}"/>
</file>

<file path=customXml/itemProps10.xml><?xml version="1.0" encoding="utf-8"?>
<ds:datastoreItem xmlns:ds="http://schemas.openxmlformats.org/officeDocument/2006/customXml" ds:itemID="{34F28B27-1638-4B31-884D-7A6C288AD6BE}"/>
</file>

<file path=customXml/itemProps11.xml><?xml version="1.0" encoding="utf-8"?>
<ds:datastoreItem xmlns:ds="http://schemas.openxmlformats.org/officeDocument/2006/customXml" ds:itemID="{9CBB373F-1AC4-45AE-8A7E-9A77CB23DE9E}"/>
</file>

<file path=customXml/itemProps12.xml><?xml version="1.0" encoding="utf-8"?>
<ds:datastoreItem xmlns:ds="http://schemas.openxmlformats.org/officeDocument/2006/customXml" ds:itemID="{E0C48C8B-DA01-45BA-9E73-323E1F7AA9F7}"/>
</file>

<file path=customXml/itemProps13.xml><?xml version="1.0" encoding="utf-8"?>
<ds:datastoreItem xmlns:ds="http://schemas.openxmlformats.org/officeDocument/2006/customXml" ds:itemID="{5B401C54-5186-43B3-B46E-C9F827737CD5}"/>
</file>

<file path=customXml/itemProps14.xml><?xml version="1.0" encoding="utf-8"?>
<ds:datastoreItem xmlns:ds="http://schemas.openxmlformats.org/officeDocument/2006/customXml" ds:itemID="{FD0DB771-85B7-4984-86F6-BD9A4A3E66F1}"/>
</file>

<file path=customXml/itemProps15.xml><?xml version="1.0" encoding="utf-8"?>
<ds:datastoreItem xmlns:ds="http://schemas.openxmlformats.org/officeDocument/2006/customXml" ds:itemID="{671618D7-414F-4452-A2B5-9DA703517024}"/>
</file>

<file path=customXml/itemProps16.xml><?xml version="1.0" encoding="utf-8"?>
<ds:datastoreItem xmlns:ds="http://schemas.openxmlformats.org/officeDocument/2006/customXml" ds:itemID="{6C443AE5-C093-4861-8096-045D076DD16E}"/>
</file>

<file path=customXml/itemProps17.xml><?xml version="1.0" encoding="utf-8"?>
<ds:datastoreItem xmlns:ds="http://schemas.openxmlformats.org/officeDocument/2006/customXml" ds:itemID="{3840DC4B-39AA-4D75-A454-69BDC1E4D79A}"/>
</file>

<file path=customXml/itemProps18.xml><?xml version="1.0" encoding="utf-8"?>
<ds:datastoreItem xmlns:ds="http://schemas.openxmlformats.org/officeDocument/2006/customXml" ds:itemID="{4E644CF2-A8B7-40D1-863A-251282FD4D28}"/>
</file>

<file path=customXml/itemProps19.xml><?xml version="1.0" encoding="utf-8"?>
<ds:datastoreItem xmlns:ds="http://schemas.openxmlformats.org/officeDocument/2006/customXml" ds:itemID="{2D231414-701A-4301-9D57-35D7DFDDC8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Top G</dc:creator>
  <cp:keywords/>
  <dc:description/>
  <cp:lastModifiedBy/>
  <cp:revision/>
  <dcterms:created xsi:type="dcterms:W3CDTF">2025-11-18T03:24:14Z</dcterms:created>
  <dcterms:modified xsi:type="dcterms:W3CDTF">2026-01-06T21:58:02Z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0x0101009859532BB4EE6740808437EF7F7DD810</vt:lpwstr>
  </property>
</Properties>
</file>